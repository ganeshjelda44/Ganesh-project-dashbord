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23\Downloads\"/>
    </mc:Choice>
  </mc:AlternateContent>
  <xr:revisionPtr revIDLastSave="0" documentId="13_ncr:1_{3E9E8173-5939-4469-8DA0-B07668E426FB}" xr6:coauthVersionLast="47" xr6:coauthVersionMax="47" xr10:uidLastSave="{00000000-0000-0000-0000-000000000000}"/>
  <bookViews>
    <workbookView xWindow="-120" yWindow="-120" windowWidth="20730" windowHeight="11040" firstSheet="3" activeTab="4" xr2:uid="{00000000-000D-0000-FFFF-FFFF00000000}"/>
  </bookViews>
  <sheets>
    <sheet name="Profit &amp; Loss" sheetId="1" r:id="rId1"/>
    <sheet name="Data Sheet" sheetId="6" r:id="rId2"/>
    <sheet name="Balance Sheet" sheetId="2" r:id="rId3"/>
    <sheet name="DATAs" sheetId="11" r:id="rId4"/>
    <sheet name="Sheet1" sheetId="17" r:id="rId5"/>
    <sheet name="RATIO ANANLYSIS" sheetId="14" r:id="rId6"/>
    <sheet name="FORCASTING" sheetId="15" r:id="rId7"/>
    <sheet name="WEIGHTAGE AVARAGE COST METHOD" sheetId="16" r:id="rId8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" i="15" l="1"/>
  <c r="F16" i="16"/>
  <c r="I16" i="16"/>
  <c r="F17" i="16"/>
  <c r="G17" i="16"/>
  <c r="H17" i="16"/>
  <c r="I17" i="16"/>
  <c r="N42" i="16"/>
  <c r="N34" i="16"/>
  <c r="F35" i="16"/>
  <c r="N43" i="16" s="1"/>
  <c r="D36" i="16"/>
  <c r="E35" i="16" s="1"/>
  <c r="D24" i="16"/>
  <c r="H11" i="16"/>
  <c r="H12" i="16"/>
  <c r="H13" i="16"/>
  <c r="H14" i="16"/>
  <c r="H10" i="16"/>
  <c r="H16" i="16" s="1"/>
  <c r="G11" i="16"/>
  <c r="J11" i="16" s="1"/>
  <c r="G12" i="16"/>
  <c r="J12" i="16" s="1"/>
  <c r="G13" i="16"/>
  <c r="J13" i="16" s="1"/>
  <c r="G14" i="16"/>
  <c r="J14" i="16" s="1"/>
  <c r="G10" i="16"/>
  <c r="G16" i="16" s="1"/>
  <c r="C1" i="15"/>
  <c r="E6" i="15"/>
  <c r="E7" i="15"/>
  <c r="E8" i="15"/>
  <c r="E12" i="15"/>
  <c r="E13" i="15"/>
  <c r="E5" i="15"/>
  <c r="D14" i="15"/>
  <c r="D15" i="15" s="1"/>
  <c r="E15" i="15" s="1"/>
  <c r="D4" i="15" a="1"/>
  <c r="D4" i="15" s="1"/>
  <c r="M3" i="15"/>
  <c r="O21" i="14"/>
  <c r="N21" i="14"/>
  <c r="N22" i="14"/>
  <c r="O22" i="14"/>
  <c r="N23" i="14"/>
  <c r="O23" i="14"/>
  <c r="N24" i="14"/>
  <c r="O24" i="14"/>
  <c r="N25" i="14"/>
  <c r="O25" i="14"/>
  <c r="N27" i="14"/>
  <c r="O27" i="14"/>
  <c r="N28" i="14"/>
  <c r="O28" i="14"/>
  <c r="N29" i="14"/>
  <c r="O29" i="14"/>
  <c r="N30" i="14"/>
  <c r="O30" i="14"/>
  <c r="N31" i="14"/>
  <c r="O31" i="14"/>
  <c r="N33" i="14"/>
  <c r="O33" i="14"/>
  <c r="N34" i="14"/>
  <c r="O34" i="14"/>
  <c r="N35" i="14"/>
  <c r="O35" i="14"/>
  <c r="N36" i="14"/>
  <c r="O36" i="14"/>
  <c r="L2" i="14"/>
  <c r="L34" i="11"/>
  <c r="C4" i="14"/>
  <c r="D1" i="14"/>
  <c r="K2" i="14"/>
  <c r="J2" i="14"/>
  <c r="I2" i="14"/>
  <c r="H2" i="14"/>
  <c r="G2" i="14"/>
  <c r="F2" i="14"/>
  <c r="E2" i="14"/>
  <c r="D2" i="14"/>
  <c r="C2" i="14"/>
  <c r="C83" i="11"/>
  <c r="D83" i="11"/>
  <c r="E83" i="11"/>
  <c r="F83" i="11"/>
  <c r="G83" i="11"/>
  <c r="H83" i="11"/>
  <c r="I83" i="11"/>
  <c r="J83" i="11"/>
  <c r="K83" i="11"/>
  <c r="L83" i="11"/>
  <c r="C84" i="11"/>
  <c r="D84" i="11"/>
  <c r="E84" i="11"/>
  <c r="F84" i="11"/>
  <c r="G84" i="11"/>
  <c r="H84" i="11"/>
  <c r="I84" i="11"/>
  <c r="J84" i="11"/>
  <c r="K84" i="11"/>
  <c r="L84" i="11"/>
  <c r="C85" i="11"/>
  <c r="D85" i="11"/>
  <c r="E85" i="11"/>
  <c r="F85" i="11"/>
  <c r="G85" i="11"/>
  <c r="H85" i="11"/>
  <c r="I85" i="11"/>
  <c r="J85" i="11"/>
  <c r="K85" i="11"/>
  <c r="L85" i="11"/>
  <c r="C86" i="11"/>
  <c r="D86" i="11"/>
  <c r="E86" i="11"/>
  <c r="F86" i="11"/>
  <c r="G86" i="11"/>
  <c r="H86" i="11"/>
  <c r="I86" i="11"/>
  <c r="J86" i="11"/>
  <c r="K86" i="11"/>
  <c r="L86" i="11"/>
  <c r="D81" i="11"/>
  <c r="E81" i="11"/>
  <c r="F81" i="11"/>
  <c r="G81" i="11"/>
  <c r="H81" i="11"/>
  <c r="I81" i="11"/>
  <c r="J81" i="11"/>
  <c r="K81" i="11"/>
  <c r="L81" i="11"/>
  <c r="D82" i="11"/>
  <c r="E82" i="11"/>
  <c r="F82" i="11"/>
  <c r="G82" i="11"/>
  <c r="H82" i="11"/>
  <c r="I82" i="11"/>
  <c r="J82" i="11"/>
  <c r="K82" i="11"/>
  <c r="L82" i="11"/>
  <c r="C82" i="11"/>
  <c r="C81" i="11"/>
  <c r="D116" i="11"/>
  <c r="E116" i="11"/>
  <c r="F116" i="11"/>
  <c r="G116" i="11"/>
  <c r="H116" i="11"/>
  <c r="I116" i="11"/>
  <c r="J116" i="11"/>
  <c r="K116" i="11"/>
  <c r="L116" i="11"/>
  <c r="C116" i="11"/>
  <c r="C106" i="11"/>
  <c r="D106" i="11"/>
  <c r="E106" i="11"/>
  <c r="F106" i="11"/>
  <c r="G106" i="11"/>
  <c r="H106" i="11"/>
  <c r="I106" i="11"/>
  <c r="J106" i="11"/>
  <c r="K106" i="11"/>
  <c r="L106" i="11"/>
  <c r="C107" i="11"/>
  <c r="D107" i="11"/>
  <c r="E107" i="11"/>
  <c r="F107" i="11"/>
  <c r="G107" i="11"/>
  <c r="H107" i="11"/>
  <c r="I107" i="11"/>
  <c r="J107" i="11"/>
  <c r="K107" i="11"/>
  <c r="L107" i="11"/>
  <c r="C108" i="11"/>
  <c r="D108" i="11"/>
  <c r="E108" i="11"/>
  <c r="F108" i="11"/>
  <c r="G108" i="11"/>
  <c r="H108" i="11"/>
  <c r="I108" i="11"/>
  <c r="J108" i="11"/>
  <c r="K108" i="11"/>
  <c r="L108" i="11"/>
  <c r="C109" i="11"/>
  <c r="D109" i="11"/>
  <c r="E109" i="11"/>
  <c r="F109" i="11"/>
  <c r="G109" i="11"/>
  <c r="H109" i="11"/>
  <c r="I109" i="11"/>
  <c r="J109" i="11"/>
  <c r="K109" i="11"/>
  <c r="L109" i="11"/>
  <c r="C110" i="11"/>
  <c r="D110" i="11"/>
  <c r="E110" i="11"/>
  <c r="F110" i="11"/>
  <c r="G110" i="11"/>
  <c r="H110" i="11"/>
  <c r="I110" i="11"/>
  <c r="J110" i="11"/>
  <c r="K110" i="11"/>
  <c r="L110" i="11"/>
  <c r="C111" i="11"/>
  <c r="D111" i="11"/>
  <c r="E111" i="11"/>
  <c r="F111" i="11"/>
  <c r="G111" i="11"/>
  <c r="H111" i="11"/>
  <c r="I111" i="11"/>
  <c r="J111" i="11"/>
  <c r="K111" i="11"/>
  <c r="L111" i="11"/>
  <c r="C112" i="11"/>
  <c r="D112" i="11"/>
  <c r="E112" i="11"/>
  <c r="F112" i="11"/>
  <c r="G112" i="11"/>
  <c r="H112" i="11"/>
  <c r="I112" i="11"/>
  <c r="J112" i="11"/>
  <c r="K112" i="11"/>
  <c r="L112" i="11"/>
  <c r="C113" i="11"/>
  <c r="D113" i="11"/>
  <c r="E113" i="11"/>
  <c r="F113" i="11"/>
  <c r="G113" i="11"/>
  <c r="H113" i="11"/>
  <c r="I113" i="11"/>
  <c r="J113" i="11"/>
  <c r="K113" i="11"/>
  <c r="L113" i="11"/>
  <c r="C114" i="11"/>
  <c r="D114" i="11"/>
  <c r="E114" i="11"/>
  <c r="F114" i="11"/>
  <c r="G114" i="11"/>
  <c r="H114" i="11"/>
  <c r="I114" i="11"/>
  <c r="J114" i="11"/>
  <c r="K114" i="11"/>
  <c r="L114" i="11"/>
  <c r="C105" i="11"/>
  <c r="D105" i="11"/>
  <c r="E105" i="11"/>
  <c r="F105" i="11"/>
  <c r="G105" i="11"/>
  <c r="H105" i="11"/>
  <c r="I105" i="11"/>
  <c r="J105" i="11"/>
  <c r="K105" i="11"/>
  <c r="L105" i="11"/>
  <c r="D100" i="11"/>
  <c r="E100" i="11"/>
  <c r="F100" i="11"/>
  <c r="G100" i="11"/>
  <c r="H100" i="11"/>
  <c r="I100" i="11"/>
  <c r="J100" i="11"/>
  <c r="K100" i="11"/>
  <c r="L100" i="11"/>
  <c r="D92" i="11"/>
  <c r="E92" i="11"/>
  <c r="F92" i="11"/>
  <c r="G92" i="11"/>
  <c r="H92" i="11"/>
  <c r="I92" i="11"/>
  <c r="J92" i="11"/>
  <c r="K92" i="11"/>
  <c r="L92" i="11"/>
  <c r="D93" i="11"/>
  <c r="E93" i="11"/>
  <c r="F93" i="11"/>
  <c r="G93" i="11"/>
  <c r="H93" i="11"/>
  <c r="I93" i="11"/>
  <c r="J93" i="11"/>
  <c r="K93" i="11"/>
  <c r="L93" i="11"/>
  <c r="D94" i="11"/>
  <c r="E94" i="11"/>
  <c r="F94" i="11"/>
  <c r="G94" i="11"/>
  <c r="H94" i="11"/>
  <c r="I94" i="11"/>
  <c r="J94" i="11"/>
  <c r="K94" i="11"/>
  <c r="L94" i="11"/>
  <c r="D95" i="11"/>
  <c r="E95" i="11"/>
  <c r="F95" i="11"/>
  <c r="G95" i="11"/>
  <c r="H95" i="11"/>
  <c r="I95" i="11"/>
  <c r="J95" i="11"/>
  <c r="K95" i="11"/>
  <c r="L95" i="11"/>
  <c r="D96" i="11"/>
  <c r="E96" i="11"/>
  <c r="F96" i="11"/>
  <c r="G96" i="11"/>
  <c r="H96" i="11"/>
  <c r="I96" i="11"/>
  <c r="J96" i="11"/>
  <c r="K96" i="11"/>
  <c r="L96" i="11"/>
  <c r="D97" i="11"/>
  <c r="E97" i="11"/>
  <c r="F97" i="11"/>
  <c r="G97" i="11"/>
  <c r="H97" i="11"/>
  <c r="I97" i="11"/>
  <c r="J97" i="11"/>
  <c r="K97" i="11"/>
  <c r="L97" i="11"/>
  <c r="D98" i="11"/>
  <c r="E98" i="11"/>
  <c r="F98" i="11"/>
  <c r="G98" i="11"/>
  <c r="H98" i="11"/>
  <c r="I98" i="11"/>
  <c r="J98" i="11"/>
  <c r="K98" i="11"/>
  <c r="L98" i="11"/>
  <c r="C93" i="11"/>
  <c r="C94" i="11"/>
  <c r="C95" i="11"/>
  <c r="C96" i="11"/>
  <c r="C97" i="11"/>
  <c r="C98" i="11"/>
  <c r="C100" i="11"/>
  <c r="D104" i="11"/>
  <c r="E104" i="11"/>
  <c r="F104" i="11"/>
  <c r="G104" i="11"/>
  <c r="H104" i="11"/>
  <c r="I104" i="11"/>
  <c r="J104" i="11"/>
  <c r="K104" i="11"/>
  <c r="L104" i="11"/>
  <c r="C104" i="11"/>
  <c r="C92" i="11"/>
  <c r="D88" i="11"/>
  <c r="E88" i="11"/>
  <c r="F88" i="11"/>
  <c r="G88" i="11"/>
  <c r="H88" i="11"/>
  <c r="I88" i="11"/>
  <c r="J88" i="11"/>
  <c r="K88" i="11"/>
  <c r="L88" i="11"/>
  <c r="C88" i="11"/>
  <c r="C30" i="11"/>
  <c r="C63" i="11"/>
  <c r="D63" i="11"/>
  <c r="E63" i="11"/>
  <c r="F63" i="11"/>
  <c r="G63" i="11"/>
  <c r="H63" i="11"/>
  <c r="I63" i="11"/>
  <c r="J63" i="11"/>
  <c r="K63" i="11"/>
  <c r="L63" i="11"/>
  <c r="C68" i="11"/>
  <c r="D68" i="11"/>
  <c r="E68" i="11"/>
  <c r="F68" i="11"/>
  <c r="G68" i="11"/>
  <c r="H68" i="11"/>
  <c r="I68" i="11"/>
  <c r="J68" i="11"/>
  <c r="K68" i="11"/>
  <c r="L68" i="11"/>
  <c r="C69" i="11"/>
  <c r="D69" i="11"/>
  <c r="E69" i="11"/>
  <c r="F69" i="11"/>
  <c r="G69" i="11"/>
  <c r="H69" i="11"/>
  <c r="I69" i="11"/>
  <c r="J69" i="11"/>
  <c r="K69" i="11"/>
  <c r="L69" i="11"/>
  <c r="C61" i="11"/>
  <c r="D61" i="11"/>
  <c r="E61" i="11"/>
  <c r="F61" i="11"/>
  <c r="G61" i="11"/>
  <c r="H61" i="11"/>
  <c r="I61" i="11"/>
  <c r="J61" i="11"/>
  <c r="K61" i="11"/>
  <c r="L61" i="11"/>
  <c r="C62" i="11"/>
  <c r="D62" i="11"/>
  <c r="E62" i="11"/>
  <c r="F62" i="11"/>
  <c r="G62" i="11"/>
  <c r="H62" i="11"/>
  <c r="I62" i="11"/>
  <c r="J62" i="11"/>
  <c r="K62" i="11"/>
  <c r="L62" i="11"/>
  <c r="C67" i="11"/>
  <c r="D67" i="11"/>
  <c r="E67" i="11"/>
  <c r="F67" i="11"/>
  <c r="G67" i="11"/>
  <c r="H67" i="11"/>
  <c r="I67" i="11"/>
  <c r="J67" i="11"/>
  <c r="K67" i="11"/>
  <c r="L67" i="11"/>
  <c r="C53" i="11"/>
  <c r="C54" i="11"/>
  <c r="D54" i="11"/>
  <c r="E54" i="11"/>
  <c r="F54" i="11"/>
  <c r="G54" i="11"/>
  <c r="H54" i="11"/>
  <c r="I54" i="11"/>
  <c r="J54" i="11"/>
  <c r="K54" i="11"/>
  <c r="L54" i="11"/>
  <c r="C55" i="11"/>
  <c r="D55" i="11"/>
  <c r="E55" i="11"/>
  <c r="F55" i="11"/>
  <c r="G55" i="11"/>
  <c r="H55" i="11"/>
  <c r="I55" i="11"/>
  <c r="J55" i="11"/>
  <c r="K55" i="11"/>
  <c r="L55" i="11"/>
  <c r="C56" i="11"/>
  <c r="D56" i="11"/>
  <c r="E56" i="11"/>
  <c r="F56" i="11"/>
  <c r="G56" i="11"/>
  <c r="H56" i="11"/>
  <c r="I56" i="11"/>
  <c r="J56" i="11"/>
  <c r="K56" i="11"/>
  <c r="L56" i="11"/>
  <c r="C57" i="11"/>
  <c r="D57" i="11"/>
  <c r="E57" i="11"/>
  <c r="F57" i="11"/>
  <c r="G57" i="11"/>
  <c r="H57" i="11"/>
  <c r="I57" i="11"/>
  <c r="J57" i="11"/>
  <c r="K57" i="11"/>
  <c r="L57" i="11"/>
  <c r="D53" i="11"/>
  <c r="E53" i="11"/>
  <c r="F53" i="11"/>
  <c r="G53" i="11"/>
  <c r="H53" i="11"/>
  <c r="I53" i="11"/>
  <c r="J53" i="11"/>
  <c r="K53" i="11"/>
  <c r="L53" i="11"/>
  <c r="D60" i="11"/>
  <c r="E60" i="11"/>
  <c r="F60" i="11"/>
  <c r="G60" i="11"/>
  <c r="H60" i="11"/>
  <c r="I60" i="11"/>
  <c r="J60" i="11"/>
  <c r="K60" i="11"/>
  <c r="L60" i="11"/>
  <c r="C60" i="11"/>
  <c r="C64" i="11" s="1"/>
  <c r="D39" i="11"/>
  <c r="D43" i="11" s="1"/>
  <c r="E39" i="11"/>
  <c r="E43" i="11" s="1"/>
  <c r="F39" i="11"/>
  <c r="F43" i="11" s="1"/>
  <c r="G39" i="11"/>
  <c r="G43" i="11" s="1"/>
  <c r="H39" i="11"/>
  <c r="H43" i="11" s="1"/>
  <c r="I39" i="11"/>
  <c r="I43" i="11" s="1"/>
  <c r="J39" i="11"/>
  <c r="J43" i="11" s="1"/>
  <c r="K39" i="11"/>
  <c r="K43" i="11" s="1"/>
  <c r="K8" i="14" s="1"/>
  <c r="L39" i="11"/>
  <c r="C39" i="11"/>
  <c r="C43" i="11" s="1"/>
  <c r="D30" i="11"/>
  <c r="E30" i="11"/>
  <c r="F30" i="11"/>
  <c r="G30" i="11"/>
  <c r="H30" i="11"/>
  <c r="I30" i="11"/>
  <c r="J30" i="11"/>
  <c r="K30" i="11"/>
  <c r="L30" i="11"/>
  <c r="D24" i="11"/>
  <c r="E24" i="11"/>
  <c r="F24" i="11"/>
  <c r="G24" i="11"/>
  <c r="H24" i="11"/>
  <c r="I24" i="11"/>
  <c r="J24" i="11"/>
  <c r="K24" i="11"/>
  <c r="L24" i="11"/>
  <c r="C24" i="11"/>
  <c r="D21" i="11"/>
  <c r="E21" i="11"/>
  <c r="F21" i="11"/>
  <c r="G21" i="11"/>
  <c r="H21" i="11"/>
  <c r="I21" i="11"/>
  <c r="J21" i="11"/>
  <c r="K21" i="11"/>
  <c r="L21" i="11"/>
  <c r="C21" i="11"/>
  <c r="D15" i="11"/>
  <c r="E15" i="11"/>
  <c r="F15" i="11"/>
  <c r="G15" i="11"/>
  <c r="H15" i="11"/>
  <c r="I15" i="11"/>
  <c r="J15" i="11"/>
  <c r="K15" i="11"/>
  <c r="L15" i="11"/>
  <c r="C15" i="11"/>
  <c r="L8" i="11"/>
  <c r="K8" i="11"/>
  <c r="J8" i="11"/>
  <c r="I8" i="11"/>
  <c r="H8" i="11"/>
  <c r="G8" i="11"/>
  <c r="F8" i="11"/>
  <c r="E8" i="11"/>
  <c r="D8" i="11"/>
  <c r="C8" i="11"/>
  <c r="L5" i="11" a="1"/>
  <c r="L5" i="11" s="1"/>
  <c r="K5" i="11" a="1"/>
  <c r="K5" i="11" s="1"/>
  <c r="J5" i="11" a="1"/>
  <c r="J5" i="11" s="1"/>
  <c r="I5" i="11" a="1"/>
  <c r="I5" i="11" s="1"/>
  <c r="I25" i="11" s="1"/>
  <c r="I18" i="14" s="1"/>
  <c r="H5" i="11" a="1"/>
  <c r="H5" i="11" s="1"/>
  <c r="H28" i="14" s="1"/>
  <c r="H34" i="14" s="1"/>
  <c r="G5" i="11" a="1"/>
  <c r="G5" i="11" s="1"/>
  <c r="G27" i="14" s="1"/>
  <c r="G33" i="14" s="1"/>
  <c r="F5" i="11" a="1"/>
  <c r="F5" i="11" s="1"/>
  <c r="E5" i="11" a="1"/>
  <c r="E5" i="11" s="1"/>
  <c r="D5" i="11" a="1"/>
  <c r="D5" i="11" s="1"/>
  <c r="C5" i="11" a="1"/>
  <c r="C5" i="11" s="1"/>
  <c r="L3" i="11"/>
  <c r="K3" i="11"/>
  <c r="J3" i="11"/>
  <c r="I3" i="11"/>
  <c r="H3" i="11"/>
  <c r="G3" i="11"/>
  <c r="F3" i="11"/>
  <c r="E3" i="11"/>
  <c r="D3" i="11"/>
  <c r="C3" i="11"/>
  <c r="D2" i="11"/>
  <c r="L6" i="1"/>
  <c r="L19" i="1" s="1"/>
  <c r="L24" i="1" s="1"/>
  <c r="C5" i="1"/>
  <c r="D5" i="1"/>
  <c r="E5" i="1"/>
  <c r="F5" i="1"/>
  <c r="G5" i="1"/>
  <c r="H5" i="1"/>
  <c r="I5" i="1"/>
  <c r="J5" i="1"/>
  <c r="K5" i="1"/>
  <c r="B5" i="1"/>
  <c r="G13" i="1"/>
  <c r="G14" i="1" s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F21" i="2" s="1"/>
  <c r="G18" i="2"/>
  <c r="H18" i="2"/>
  <c r="I18" i="2"/>
  <c r="J18" i="2"/>
  <c r="K18" i="2"/>
  <c r="B17" i="2"/>
  <c r="C4" i="2"/>
  <c r="D4" i="2"/>
  <c r="E24" i="2" s="1"/>
  <c r="E4" i="2"/>
  <c r="E23" i="2" s="1"/>
  <c r="E5" i="2"/>
  <c r="F4" i="2"/>
  <c r="G4" i="2"/>
  <c r="H4" i="2"/>
  <c r="I4" i="2"/>
  <c r="I5" i="2"/>
  <c r="I23" i="2" s="1"/>
  <c r="J4" i="2"/>
  <c r="J5" i="2"/>
  <c r="K4" i="2"/>
  <c r="C5" i="2"/>
  <c r="D5" i="2"/>
  <c r="F5" i="2"/>
  <c r="G5" i="2"/>
  <c r="G23" i="2" s="1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L4" i="1"/>
  <c r="L23" i="1" s="1"/>
  <c r="L5" i="1"/>
  <c r="L11" i="1"/>
  <c r="L12" i="1"/>
  <c r="L13" i="1" s="1"/>
  <c r="L14" i="1" s="1"/>
  <c r="L25" i="1" s="1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F12" i="1"/>
  <c r="F13" i="1" s="1"/>
  <c r="G12" i="1"/>
  <c r="H12" i="1"/>
  <c r="H13" i="1" s="1"/>
  <c r="I12" i="1"/>
  <c r="I13" i="1" s="1"/>
  <c r="J12" i="1"/>
  <c r="J13" i="1" s="1"/>
  <c r="J14" i="1" s="1"/>
  <c r="K12" i="1"/>
  <c r="K13" i="1" s="1"/>
  <c r="C15" i="1"/>
  <c r="D15" i="1"/>
  <c r="E15" i="1"/>
  <c r="F15" i="1"/>
  <c r="F14" i="1" s="1"/>
  <c r="G15" i="1"/>
  <c r="H15" i="1"/>
  <c r="I15" i="1"/>
  <c r="J15" i="1"/>
  <c r="K15" i="1"/>
  <c r="B15" i="1"/>
  <c r="B7" i="1"/>
  <c r="B4" i="1"/>
  <c r="B20" i="2" s="1"/>
  <c r="A1" i="1"/>
  <c r="E1" i="6"/>
  <c r="H1" i="1" s="1"/>
  <c r="H16" i="2"/>
  <c r="D16" i="2"/>
  <c r="K23" i="2"/>
  <c r="F23" i="2"/>
  <c r="C23" i="2"/>
  <c r="K16" i="2"/>
  <c r="C16" i="2"/>
  <c r="F16" i="2"/>
  <c r="E6" i="1"/>
  <c r="E19" i="1" s="1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 s="1"/>
  <c r="B6" i="1"/>
  <c r="B19" i="1" s="1"/>
  <c r="C3" i="2"/>
  <c r="D3" i="2"/>
  <c r="E3" i="2"/>
  <c r="F3" i="2"/>
  <c r="G3" i="2"/>
  <c r="H3" i="2"/>
  <c r="I3" i="2"/>
  <c r="J3" i="2"/>
  <c r="K3" i="2"/>
  <c r="C3" i="1"/>
  <c r="D3" i="1"/>
  <c r="E3" i="1"/>
  <c r="F3" i="1"/>
  <c r="G3" i="1"/>
  <c r="H3" i="1"/>
  <c r="I3" i="1"/>
  <c r="J3" i="1"/>
  <c r="K3" i="1"/>
  <c r="K21" i="2"/>
  <c r="J21" i="2"/>
  <c r="I21" i="2"/>
  <c r="H21" i="2"/>
  <c r="G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L15" i="1"/>
  <c r="B12" i="1"/>
  <c r="B13" i="1" s="1"/>
  <c r="B11" i="1"/>
  <c r="B10" i="1"/>
  <c r="B9" i="1"/>
  <c r="B8" i="1"/>
  <c r="B3" i="1"/>
  <c r="G20" i="2"/>
  <c r="K20" i="2"/>
  <c r="D20" i="2"/>
  <c r="J20" i="2"/>
  <c r="C20" i="2"/>
  <c r="E20" i="2"/>
  <c r="L10" i="1"/>
  <c r="A1" i="2"/>
  <c r="H23" i="1"/>
  <c r="I23" i="1"/>
  <c r="M11" i="1" l="1"/>
  <c r="F38" i="16"/>
  <c r="N33" i="16" s="1"/>
  <c r="E34" i="16"/>
  <c r="E38" i="16" s="1"/>
  <c r="J10" i="16"/>
  <c r="E14" i="15"/>
  <c r="E11" i="15"/>
  <c r="D16" i="15"/>
  <c r="E16" i="15" s="1"/>
  <c r="E10" i="15"/>
  <c r="E9" i="15"/>
  <c r="E64" i="11"/>
  <c r="C31" i="14"/>
  <c r="E118" i="11"/>
  <c r="D31" i="14"/>
  <c r="F27" i="14"/>
  <c r="F33" i="14" s="1"/>
  <c r="L31" i="14"/>
  <c r="J8" i="14"/>
  <c r="F64" i="11"/>
  <c r="I118" i="11"/>
  <c r="H70" i="11"/>
  <c r="H118" i="11"/>
  <c r="F118" i="11"/>
  <c r="E31" i="14"/>
  <c r="C118" i="11"/>
  <c r="G118" i="11"/>
  <c r="L23" i="14"/>
  <c r="J29" i="14"/>
  <c r="J35" i="14" s="1"/>
  <c r="I8" i="14"/>
  <c r="L118" i="11"/>
  <c r="D118" i="11"/>
  <c r="C27" i="14"/>
  <c r="K28" i="14"/>
  <c r="K34" i="14" s="1"/>
  <c r="K31" i="14"/>
  <c r="K118" i="11"/>
  <c r="K29" i="14"/>
  <c r="K35" i="14" s="1"/>
  <c r="J118" i="11"/>
  <c r="K30" i="14"/>
  <c r="K70" i="11"/>
  <c r="C70" i="11"/>
  <c r="C73" i="11" s="1"/>
  <c r="C75" i="11" s="1"/>
  <c r="E8" i="14"/>
  <c r="D8" i="14"/>
  <c r="H8" i="14"/>
  <c r="E31" i="11"/>
  <c r="G16" i="11"/>
  <c r="G17" i="14" s="1"/>
  <c r="G8" i="14"/>
  <c r="C29" i="14"/>
  <c r="E27" i="14"/>
  <c r="E33" i="14" s="1"/>
  <c r="G28" i="14"/>
  <c r="G34" i="14" s="1"/>
  <c r="H29" i="14"/>
  <c r="H35" i="14" s="1"/>
  <c r="J30" i="14"/>
  <c r="J31" i="14"/>
  <c r="F8" i="14"/>
  <c r="L27" i="14"/>
  <c r="L33" i="14" s="1"/>
  <c r="D27" i="14"/>
  <c r="D33" i="14" s="1"/>
  <c r="F28" i="14"/>
  <c r="F34" i="14" s="1"/>
  <c r="G29" i="14"/>
  <c r="G35" i="14" s="1"/>
  <c r="G36" i="14" s="1"/>
  <c r="I30" i="14"/>
  <c r="I31" i="14"/>
  <c r="K27" i="14"/>
  <c r="K33" i="14" s="1"/>
  <c r="C28" i="14"/>
  <c r="E28" i="14"/>
  <c r="E34" i="14" s="1"/>
  <c r="F29" i="14"/>
  <c r="F35" i="14" s="1"/>
  <c r="H30" i="14"/>
  <c r="H31" i="14"/>
  <c r="J27" i="14"/>
  <c r="J33" i="14" s="1"/>
  <c r="L28" i="14"/>
  <c r="L34" i="14" s="1"/>
  <c r="D28" i="14"/>
  <c r="D34" i="14" s="1"/>
  <c r="E29" i="14"/>
  <c r="E35" i="14" s="1"/>
  <c r="G30" i="14"/>
  <c r="G31" i="14"/>
  <c r="I27" i="14"/>
  <c r="I33" i="14" s="1"/>
  <c r="L29" i="14"/>
  <c r="L35" i="14" s="1"/>
  <c r="D29" i="14"/>
  <c r="D35" i="14" s="1"/>
  <c r="F30" i="14"/>
  <c r="F31" i="14"/>
  <c r="H27" i="14"/>
  <c r="H33" i="14" s="1"/>
  <c r="D30" i="14"/>
  <c r="E30" i="14"/>
  <c r="J28" i="14"/>
  <c r="J34" i="14" s="1"/>
  <c r="I28" i="14"/>
  <c r="I34" i="14" s="1"/>
  <c r="L30" i="14"/>
  <c r="C30" i="14"/>
  <c r="I29" i="14"/>
  <c r="I35" i="14" s="1"/>
  <c r="F31" i="11"/>
  <c r="G64" i="11"/>
  <c r="H6" i="11"/>
  <c r="H4" i="14" s="1"/>
  <c r="H64" i="11"/>
  <c r="L64" i="11"/>
  <c r="K31" i="11"/>
  <c r="K64" i="11"/>
  <c r="K73" i="11" s="1"/>
  <c r="K75" i="11" s="1"/>
  <c r="F70" i="11"/>
  <c r="J64" i="11"/>
  <c r="E70" i="11"/>
  <c r="E73" i="11" s="1"/>
  <c r="E75" i="11" s="1"/>
  <c r="G70" i="11"/>
  <c r="G25" i="11"/>
  <c r="G18" i="14" s="1"/>
  <c r="I64" i="11"/>
  <c r="L70" i="11"/>
  <c r="D70" i="11"/>
  <c r="D64" i="11"/>
  <c r="J25" i="11"/>
  <c r="J18" i="14" s="1"/>
  <c r="J16" i="11"/>
  <c r="J17" i="14" s="1"/>
  <c r="C12" i="11"/>
  <c r="K25" i="11"/>
  <c r="K18" i="14" s="1"/>
  <c r="J70" i="11"/>
  <c r="J22" i="11"/>
  <c r="I70" i="11"/>
  <c r="F16" i="11"/>
  <c r="F17" i="14" s="1"/>
  <c r="E22" i="11"/>
  <c r="F25" i="11"/>
  <c r="F18" i="14" s="1"/>
  <c r="J31" i="11"/>
  <c r="C16" i="11"/>
  <c r="C17" i="14" s="1"/>
  <c r="E16" i="11"/>
  <c r="E17" i="14" s="1"/>
  <c r="I22" i="11"/>
  <c r="C25" i="11"/>
  <c r="C18" i="14" s="1"/>
  <c r="E25" i="11"/>
  <c r="E18" i="14" s="1"/>
  <c r="I31" i="11"/>
  <c r="L16" i="11"/>
  <c r="L17" i="14" s="1"/>
  <c r="D16" i="11"/>
  <c r="D17" i="14" s="1"/>
  <c r="L25" i="11"/>
  <c r="L18" i="14" s="1"/>
  <c r="D25" i="11"/>
  <c r="D18" i="14" s="1"/>
  <c r="H31" i="11"/>
  <c r="L41" i="11"/>
  <c r="G22" i="11"/>
  <c r="G31" i="11"/>
  <c r="C22" i="11"/>
  <c r="H16" i="11"/>
  <c r="H17" i="14" s="1"/>
  <c r="L22" i="11"/>
  <c r="D22" i="11"/>
  <c r="H25" i="11"/>
  <c r="H18" i="14" s="1"/>
  <c r="L31" i="11"/>
  <c r="D31" i="11"/>
  <c r="K22" i="11"/>
  <c r="L35" i="11"/>
  <c r="L15" i="14" s="1"/>
  <c r="F9" i="11"/>
  <c r="L43" i="11"/>
  <c r="H22" i="11"/>
  <c r="H9" i="11"/>
  <c r="I9" i="11"/>
  <c r="K16" i="11"/>
  <c r="K17" i="14" s="1"/>
  <c r="F22" i="11"/>
  <c r="I16" i="11"/>
  <c r="I17" i="14" s="1"/>
  <c r="C31" i="11"/>
  <c r="D12" i="11"/>
  <c r="L12" i="11"/>
  <c r="I6" i="11"/>
  <c r="I4" i="14" s="1"/>
  <c r="I12" i="11"/>
  <c r="J6" i="11"/>
  <c r="J4" i="14" s="1"/>
  <c r="J12" i="11"/>
  <c r="K12" i="11"/>
  <c r="K6" i="11"/>
  <c r="K4" i="14" s="1"/>
  <c r="E9" i="11"/>
  <c r="E6" i="11"/>
  <c r="E4" i="14" s="1"/>
  <c r="E12" i="11"/>
  <c r="F6" i="11"/>
  <c r="F4" i="14" s="1"/>
  <c r="F12" i="11"/>
  <c r="J9" i="11"/>
  <c r="G6" i="11"/>
  <c r="G4" i="14" s="1"/>
  <c r="G12" i="11"/>
  <c r="G9" i="11"/>
  <c r="C9" i="11"/>
  <c r="K9" i="11"/>
  <c r="D6" i="11"/>
  <c r="D4" i="14" s="1"/>
  <c r="N4" i="14" s="1"/>
  <c r="L6" i="11"/>
  <c r="L4" i="14" s="1"/>
  <c r="H12" i="11"/>
  <c r="D9" i="11"/>
  <c r="L9" i="11"/>
  <c r="K14" i="1"/>
  <c r="H23" i="2"/>
  <c r="J24" i="2"/>
  <c r="D24" i="2"/>
  <c r="I24" i="2"/>
  <c r="I14" i="1"/>
  <c r="K25" i="1" s="1"/>
  <c r="M25" i="1" s="1"/>
  <c r="M14" i="1" s="1"/>
  <c r="C24" i="2"/>
  <c r="H24" i="2"/>
  <c r="B23" i="2"/>
  <c r="H14" i="1"/>
  <c r="G24" i="2"/>
  <c r="D13" i="1"/>
  <c r="E13" i="1" s="1"/>
  <c r="E14" i="1" s="1"/>
  <c r="I25" i="1" s="1"/>
  <c r="K24" i="1"/>
  <c r="M24" i="1" s="1"/>
  <c r="L9" i="1"/>
  <c r="M9" i="1" s="1"/>
  <c r="L8" i="1"/>
  <c r="N8" i="1" s="1"/>
  <c r="L7" i="1"/>
  <c r="E16" i="2"/>
  <c r="J23" i="2"/>
  <c r="J23" i="1"/>
  <c r="N11" i="1"/>
  <c r="B14" i="1"/>
  <c r="I16" i="2"/>
  <c r="K24" i="2"/>
  <c r="E1" i="2"/>
  <c r="F24" i="2"/>
  <c r="J25" i="1"/>
  <c r="N23" i="1"/>
  <c r="N4" i="1" s="1"/>
  <c r="I20" i="2"/>
  <c r="J24" i="1"/>
  <c r="H20" i="2"/>
  <c r="K23" i="1"/>
  <c r="M23" i="1" s="1"/>
  <c r="M4" i="1" s="1"/>
  <c r="H6" i="1"/>
  <c r="H19" i="1" s="1"/>
  <c r="F6" i="1"/>
  <c r="F19" i="1" s="1"/>
  <c r="I24" i="1" s="1"/>
  <c r="M8" i="1" l="1"/>
  <c r="J17" i="16"/>
  <c r="N32" i="16" s="1"/>
  <c r="J16" i="16"/>
  <c r="N35" i="16"/>
  <c r="N24" i="16" s="1"/>
  <c r="N25" i="16" s="1"/>
  <c r="M43" i="16" s="1"/>
  <c r="N44" i="16" s="1"/>
  <c r="D17" i="15"/>
  <c r="N17" i="14"/>
  <c r="O17" i="14"/>
  <c r="C33" i="14"/>
  <c r="C35" i="14"/>
  <c r="O4" i="14"/>
  <c r="C34" i="14"/>
  <c r="O18" i="14"/>
  <c r="N18" i="14"/>
  <c r="O8" i="14"/>
  <c r="F73" i="11"/>
  <c r="F75" i="11" s="1"/>
  <c r="H73" i="11"/>
  <c r="H75" i="11" s="1"/>
  <c r="C36" i="14"/>
  <c r="F36" i="14"/>
  <c r="K36" i="14"/>
  <c r="J36" i="14"/>
  <c r="D18" i="11"/>
  <c r="D19" i="11" s="1"/>
  <c r="D12" i="14" s="1"/>
  <c r="D13" i="11"/>
  <c r="D11" i="14" s="1"/>
  <c r="L8" i="14"/>
  <c r="N8" i="14" s="1"/>
  <c r="L45" i="11"/>
  <c r="L48" i="11" s="1"/>
  <c r="L22" i="14" s="1"/>
  <c r="L24" i="14" s="1"/>
  <c r="H18" i="11"/>
  <c r="H13" i="11"/>
  <c r="H11" i="14" s="1"/>
  <c r="J18" i="11"/>
  <c r="J19" i="11" s="1"/>
  <c r="J12" i="14" s="1"/>
  <c r="J13" i="11"/>
  <c r="J11" i="14" s="1"/>
  <c r="C18" i="11"/>
  <c r="C27" i="11" s="1"/>
  <c r="C28" i="11" s="1"/>
  <c r="C14" i="14" s="1"/>
  <c r="C13" i="11"/>
  <c r="C11" i="14" s="1"/>
  <c r="I36" i="14"/>
  <c r="K18" i="11"/>
  <c r="K19" i="11" s="1"/>
  <c r="K12" i="14" s="1"/>
  <c r="K13" i="11"/>
  <c r="K11" i="14" s="1"/>
  <c r="F18" i="11"/>
  <c r="F13" i="11"/>
  <c r="F11" i="14" s="1"/>
  <c r="I18" i="11"/>
  <c r="I19" i="11" s="1"/>
  <c r="I12" i="14" s="1"/>
  <c r="I13" i="11"/>
  <c r="I11" i="14" s="1"/>
  <c r="G18" i="11"/>
  <c r="G19" i="11" s="1"/>
  <c r="G12" i="14" s="1"/>
  <c r="G13" i="11"/>
  <c r="G11" i="14" s="1"/>
  <c r="H36" i="14"/>
  <c r="D36" i="14"/>
  <c r="E36" i="14"/>
  <c r="E18" i="11"/>
  <c r="E19" i="11" s="1"/>
  <c r="E12" i="14" s="1"/>
  <c r="E13" i="11"/>
  <c r="E11" i="14" s="1"/>
  <c r="L18" i="11"/>
  <c r="L19" i="11" s="1"/>
  <c r="L12" i="14" s="1"/>
  <c r="L13" i="11"/>
  <c r="L11" i="14" s="1"/>
  <c r="L36" i="14"/>
  <c r="L73" i="11"/>
  <c r="L75" i="11" s="1"/>
  <c r="G73" i="11"/>
  <c r="G75" i="11" s="1"/>
  <c r="J73" i="11"/>
  <c r="J75" i="11" s="1"/>
  <c r="I73" i="11"/>
  <c r="I75" i="11" s="1"/>
  <c r="D73" i="11"/>
  <c r="D75" i="11" s="1"/>
  <c r="D14" i="1"/>
  <c r="H25" i="1" s="1"/>
  <c r="N25" i="1" s="1"/>
  <c r="N14" i="1" s="1"/>
  <c r="H24" i="1"/>
  <c r="N24" i="1" s="1"/>
  <c r="N6" i="1" s="1"/>
  <c r="N9" i="1"/>
  <c r="M6" i="1"/>
  <c r="M10" i="1" l="1"/>
  <c r="M12" i="1" s="1"/>
  <c r="M13" i="1" s="1"/>
  <c r="M15" i="1" s="1"/>
  <c r="D18" i="15"/>
  <c r="E18" i="15" s="1"/>
  <c r="E17" i="15"/>
  <c r="N11" i="14"/>
  <c r="O11" i="14"/>
  <c r="G27" i="11"/>
  <c r="K27" i="11"/>
  <c r="J34" i="11" s="1"/>
  <c r="I27" i="11"/>
  <c r="H34" i="11" s="1"/>
  <c r="L27" i="11"/>
  <c r="L28" i="11" s="1"/>
  <c r="L14" i="14" s="1"/>
  <c r="J27" i="11"/>
  <c r="I34" i="11" s="1"/>
  <c r="E27" i="11"/>
  <c r="D34" i="11" s="1"/>
  <c r="C19" i="11"/>
  <c r="C12" i="14" s="1"/>
  <c r="C21" i="14"/>
  <c r="C25" i="14"/>
  <c r="C13" i="14"/>
  <c r="I21" i="14"/>
  <c r="I13" i="14"/>
  <c r="I19" i="14" s="1"/>
  <c r="I25" i="14"/>
  <c r="I5" i="14"/>
  <c r="L25" i="14"/>
  <c r="L21" i="14"/>
  <c r="L13" i="14"/>
  <c r="L19" i="14" s="1"/>
  <c r="L5" i="14"/>
  <c r="E13" i="14"/>
  <c r="E19" i="14" s="1"/>
  <c r="E25" i="14"/>
  <c r="E5" i="14"/>
  <c r="E21" i="14"/>
  <c r="J21" i="14"/>
  <c r="J13" i="14"/>
  <c r="J19" i="14" s="1"/>
  <c r="J25" i="14"/>
  <c r="J5" i="14"/>
  <c r="F13" i="14"/>
  <c r="F19" i="14" s="1"/>
  <c r="F25" i="14"/>
  <c r="F5" i="14"/>
  <c r="F21" i="14"/>
  <c r="F34" i="11"/>
  <c r="H13" i="14"/>
  <c r="H19" i="14" s="1"/>
  <c r="H25" i="14"/>
  <c r="H5" i="14"/>
  <c r="H21" i="14"/>
  <c r="K21" i="14"/>
  <c r="K13" i="14"/>
  <c r="K19" i="14" s="1"/>
  <c r="K25" i="14"/>
  <c r="K5" i="14"/>
  <c r="H27" i="11"/>
  <c r="H28" i="11" s="1"/>
  <c r="H14" i="14" s="1"/>
  <c r="D27" i="11"/>
  <c r="F27" i="11"/>
  <c r="F19" i="11"/>
  <c r="F12" i="14" s="1"/>
  <c r="H19" i="11"/>
  <c r="H12" i="14" s="1"/>
  <c r="G13" i="14"/>
  <c r="G19" i="14" s="1"/>
  <c r="G25" i="14"/>
  <c r="G5" i="14"/>
  <c r="G21" i="14"/>
  <c r="D25" i="14"/>
  <c r="D21" i="14"/>
  <c r="D13" i="14"/>
  <c r="D19" i="14" s="1"/>
  <c r="D5" i="14"/>
  <c r="J28" i="11"/>
  <c r="J14" i="14" s="1"/>
  <c r="K28" i="11"/>
  <c r="K14" i="14" s="1"/>
  <c r="E28" i="11"/>
  <c r="E14" i="14" s="1"/>
  <c r="G28" i="11"/>
  <c r="G14" i="14" s="1"/>
  <c r="N10" i="1"/>
  <c r="N12" i="1" s="1"/>
  <c r="N13" i="1" s="1"/>
  <c r="N15" i="1" s="1"/>
  <c r="N5" i="1"/>
  <c r="M5" i="1"/>
  <c r="C19" i="14" l="1"/>
  <c r="N13" i="14"/>
  <c r="O13" i="14"/>
  <c r="N12" i="14"/>
  <c r="O12" i="14"/>
  <c r="N5" i="14"/>
  <c r="O5" i="14"/>
  <c r="E6" i="14"/>
  <c r="I28" i="11"/>
  <c r="I14" i="14" s="1"/>
  <c r="K6" i="14"/>
  <c r="J6" i="14"/>
  <c r="L6" i="14"/>
  <c r="K34" i="11"/>
  <c r="L7" i="14" s="1"/>
  <c r="D28" i="11"/>
  <c r="D14" i="14" s="1"/>
  <c r="E34" i="11"/>
  <c r="F7" i="14" s="1"/>
  <c r="F6" i="14"/>
  <c r="D23" i="14"/>
  <c r="D41" i="11"/>
  <c r="D45" i="11" s="1"/>
  <c r="D48" i="11" s="1"/>
  <c r="D22" i="14" s="1"/>
  <c r="C34" i="11"/>
  <c r="D6" i="14"/>
  <c r="G34" i="11"/>
  <c r="H7" i="14" s="1"/>
  <c r="H6" i="14"/>
  <c r="J7" i="14"/>
  <c r="J23" i="14"/>
  <c r="I23" i="14"/>
  <c r="I7" i="14"/>
  <c r="F28" i="11"/>
  <c r="F14" i="14" s="1"/>
  <c r="G6" i="14"/>
  <c r="I6" i="14"/>
  <c r="F23" i="14"/>
  <c r="H23" i="14"/>
  <c r="H35" i="11"/>
  <c r="H15" i="14" s="1"/>
  <c r="H41" i="11"/>
  <c r="H45" i="11" s="1"/>
  <c r="H48" i="11" s="1"/>
  <c r="H22" i="14" s="1"/>
  <c r="I35" i="11"/>
  <c r="I15" i="14" s="1"/>
  <c r="I41" i="11"/>
  <c r="I45" i="11" s="1"/>
  <c r="I48" i="11" s="1"/>
  <c r="I22" i="14" s="1"/>
  <c r="D35" i="11"/>
  <c r="D15" i="14" s="1"/>
  <c r="K35" i="11"/>
  <c r="K15" i="14" s="1"/>
  <c r="F41" i="11"/>
  <c r="F45" i="11" s="1"/>
  <c r="F48" i="11" s="1"/>
  <c r="F22" i="14" s="1"/>
  <c r="F35" i="11"/>
  <c r="F15" i="14" s="1"/>
  <c r="J35" i="11"/>
  <c r="J15" i="14" s="1"/>
  <c r="J41" i="11"/>
  <c r="J45" i="11" s="1"/>
  <c r="J48" i="11" s="1"/>
  <c r="J22" i="14" s="1"/>
  <c r="N6" i="14" l="1"/>
  <c r="O6" i="14"/>
  <c r="N14" i="14"/>
  <c r="O14" i="14"/>
  <c r="O19" i="14"/>
  <c r="N19" i="14"/>
  <c r="E35" i="11"/>
  <c r="E15" i="14" s="1"/>
  <c r="K23" i="14"/>
  <c r="K7" i="14"/>
  <c r="K41" i="11"/>
  <c r="K45" i="11" s="1"/>
  <c r="K48" i="11" s="1"/>
  <c r="K22" i="14" s="1"/>
  <c r="I24" i="14"/>
  <c r="F24" i="14"/>
  <c r="H24" i="14"/>
  <c r="G41" i="11"/>
  <c r="G45" i="11" s="1"/>
  <c r="G48" i="11" s="1"/>
  <c r="G22" i="14" s="1"/>
  <c r="D24" i="14"/>
  <c r="C23" i="14"/>
  <c r="C41" i="11"/>
  <c r="C45" i="11" s="1"/>
  <c r="C48" i="11" s="1"/>
  <c r="C22" i="14" s="1"/>
  <c r="G23" i="14"/>
  <c r="G7" i="14"/>
  <c r="G35" i="11"/>
  <c r="G15" i="14" s="1"/>
  <c r="D7" i="14"/>
  <c r="J24" i="14"/>
  <c r="C35" i="11"/>
  <c r="C15" i="14" s="1"/>
  <c r="E7" i="14"/>
  <c r="E23" i="14"/>
  <c r="E41" i="11"/>
  <c r="E45" i="11" s="1"/>
  <c r="E48" i="11" s="1"/>
  <c r="E22" i="14" s="1"/>
  <c r="N15" i="14" l="1"/>
  <c r="O15" i="14"/>
  <c r="O7" i="14"/>
  <c r="N7" i="14"/>
  <c r="K24" i="14"/>
  <c r="E24" i="14"/>
  <c r="G24" i="14"/>
  <c r="C24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<sst xmlns="http://schemas.openxmlformats.org/spreadsheetml/2006/main" count="284" uniqueCount="227">
  <si>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</si>
  <si>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</si>
  <si>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</si>
  <si>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</si>
  <si>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</si>
  <si>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</si>
  <si>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</si>
  <si>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</si>
  <si>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</si>
  <si>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</si>
  <si>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</si>
  <si>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</si>
  <si>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</si>
  <si>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</si>
  <si>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</si>
  <si>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</si>
  <si>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</si>
  <si>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</si>
  <si>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</si>
  <si>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</si>
  <si>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</si>
  <si>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</si>
  <si>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</si>
  <si>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</si>
  <si>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</si>
  <si>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</si>
  <si>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</si>
  <si>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</si>
  <si>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</si>
  <si>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</si>
  <si>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</si>
  <si>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</si>
  <si>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</si>
  <si>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</si>
  <si>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</si>
  <si>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</si>
  <si>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</si>
  <si>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</si>
  <si>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</si>
  <si>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</si>
  <si>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</si>
  <si>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</si>
  <si>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</si>
  <si>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</si>
  <si>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</si>
  <si>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</si>
  <si>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</si>
  <si>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</si>
  <si>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</si>
  <si>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</si>
  <si>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</si>
  <si>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</si>
  <si>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</si>
  <si>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</si>
  <si>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RELIANCE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</si>
  <si>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</si>
  <si>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</si>
  <si>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</si>
  <si>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</si>
  <si>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</si>
  <si>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</si>
  <si>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</si>
  <si>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</si>
  <si>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</si>
  <si>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</si>
  <si>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</si>
  <si>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</si>
  <si>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</si>
  <si>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</si>
  <si>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</si>
  <si>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</si>
  <si>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</si>
  <si>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</si>
  <si>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</si>
  <si>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</si>
  <si>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</si>
  <si>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</si>
  <si>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</si>
  <si>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</si>
  <si>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</si>
  <si>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</si>
  <si>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</si>
  <si>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INCOME STATEMENT</t>
  </si>
  <si>
    <t>COGS</t>
  </si>
  <si>
    <t>COGS % Sales</t>
  </si>
  <si>
    <t>Growth profit</t>
  </si>
  <si>
    <t xml:space="preserve">Sales </t>
  </si>
  <si>
    <t>SELLING &amp; GENERAL EXPENSES</t>
  </si>
  <si>
    <t>S &amp; G Exp % Sales</t>
  </si>
  <si>
    <t>EBITDA</t>
  </si>
  <si>
    <t>EBITDA % margins</t>
  </si>
  <si>
    <t>interest % sales</t>
  </si>
  <si>
    <t>DEPRICIATION</t>
  </si>
  <si>
    <t>Depriciation % sales</t>
  </si>
  <si>
    <t>TAX</t>
  </si>
  <si>
    <t>Tax % sales</t>
  </si>
  <si>
    <t>EARNING BEFORE TAX</t>
  </si>
  <si>
    <t>EBT % SALES</t>
  </si>
  <si>
    <t>NET  PROFIT</t>
  </si>
  <si>
    <t xml:space="preserve">Net % margin </t>
  </si>
  <si>
    <t>NO OF EQUTY SHARES</t>
  </si>
  <si>
    <t xml:space="preserve">EARNING PER SHARE </t>
  </si>
  <si>
    <t>DIVIDENT PER SHARE</t>
  </si>
  <si>
    <t xml:space="preserve">DIVIDENT PAY OUT RATIO </t>
  </si>
  <si>
    <t xml:space="preserve">RETAINED EARNING </t>
  </si>
  <si>
    <t>#</t>
  </si>
  <si>
    <t>EQUITY SHARE CAPITAL</t>
  </si>
  <si>
    <t>RESERVES</t>
  </si>
  <si>
    <t>BORROWING</t>
  </si>
  <si>
    <t>OTHER EXPENSES</t>
  </si>
  <si>
    <t>TOTAL LIABILITIES</t>
  </si>
  <si>
    <t>FIXET ASSET AND BLOCK</t>
  </si>
  <si>
    <t>CAPITAL WORK IN PROGRAMS</t>
  </si>
  <si>
    <t>OTHER ASSET</t>
  </si>
  <si>
    <t>RECEVAIBLES</t>
  </si>
  <si>
    <t>INVENTORY</t>
  </si>
  <si>
    <t>CASH AND BANK</t>
  </si>
  <si>
    <t>TOTAL CURRENT ASSET</t>
  </si>
  <si>
    <t>TOTAL ASSET</t>
  </si>
  <si>
    <t>INVESTMENT</t>
  </si>
  <si>
    <t>CHECK</t>
  </si>
  <si>
    <t>Profit from operations</t>
  </si>
  <si>
    <t>Payables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</si>
  <si>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</si>
  <si>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</si>
  <si>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</si>
  <si>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</si>
  <si>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</si>
  <si>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</si>
  <si>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</si>
  <si>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</si>
  <si>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</si>
  <si>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</si>
  <si>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</si>
  <si>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</si>
  <si>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</si>
  <si>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</si>
  <si>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</si>
  <si>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Share application money</t>
  </si>
  <si>
    <t>Other financing items</t>
  </si>
  <si>
    <t>Free Cash Flow</t>
  </si>
  <si>
    <t>CFO/OP</t>
  </si>
  <si>
    <t xml:space="preserve">CASH FLOW  STATEMENT  </t>
  </si>
  <si>
    <t>OPERATING ACTIVITIES</t>
  </si>
  <si>
    <t>CASH FROM OPERATING ACTIVITIES</t>
  </si>
  <si>
    <t>INVESTING ACTIVITIES</t>
  </si>
  <si>
    <t>CASH FROM INVESTING ACTIVITIES</t>
  </si>
  <si>
    <t>FINANACE ACTIVITIES</t>
  </si>
  <si>
    <t>CASH FROM FINANCE ACTIVITIES</t>
  </si>
  <si>
    <t>NET  CASH FLOW</t>
  </si>
  <si>
    <t>TOTAL NON CURRENT ASSETS</t>
  </si>
  <si>
    <t>Years Wright</t>
  </si>
  <si>
    <t>Sales growth</t>
  </si>
  <si>
    <t>EBIDTA Growth</t>
  </si>
  <si>
    <t>Divident Growth</t>
  </si>
  <si>
    <t>Net Profit Growth</t>
  </si>
  <si>
    <t>Growth Margin</t>
  </si>
  <si>
    <t>EBIDTA Margin</t>
  </si>
  <si>
    <t>EBT Margin</t>
  </si>
  <si>
    <t>Net profit margin</t>
  </si>
  <si>
    <t>Return Of Captal Employee</t>
  </si>
  <si>
    <t>Returned Earning %</t>
  </si>
  <si>
    <t>Return Of Equity %</t>
  </si>
  <si>
    <t xml:space="preserve">Self Sustained Growth Rate </t>
  </si>
  <si>
    <t>Interest Coverage Ratio</t>
  </si>
  <si>
    <t>Debtor Turnover Ratio</t>
  </si>
  <si>
    <t>Creditor Turnover Ratio</t>
  </si>
  <si>
    <t xml:space="preserve">Inventory Turnover </t>
  </si>
  <si>
    <t>Fixed Asset Turnover</t>
  </si>
  <si>
    <t>Capital Turnover</t>
  </si>
  <si>
    <t/>
  </si>
  <si>
    <t>Payable Days</t>
  </si>
  <si>
    <t>Inventory Days</t>
  </si>
  <si>
    <t>EBT Growth</t>
  </si>
  <si>
    <t>EBIT Margin</t>
  </si>
  <si>
    <t>Sales  expense ratio</t>
  </si>
  <si>
    <t>depreciation % Sales</t>
  </si>
  <si>
    <t>Operating profit % Ratio</t>
  </si>
  <si>
    <t>Cash Conversion Cycle</t>
  </si>
  <si>
    <t>Mean</t>
  </si>
  <si>
    <t>Median</t>
  </si>
  <si>
    <t>Trend</t>
  </si>
  <si>
    <t>SALES</t>
  </si>
  <si>
    <t>All Figure are in (INR) unlesss  Otherwise Started</t>
  </si>
  <si>
    <t>Weightage Avarege Cost Of Capital</t>
  </si>
  <si>
    <t>Peer Comps</t>
  </si>
  <si>
    <t>Total Debt</t>
  </si>
  <si>
    <t>Total Equity</t>
  </si>
  <si>
    <t>Debt/</t>
  </si>
  <si>
    <t>Equity</t>
  </si>
  <si>
    <t>Capital</t>
  </si>
  <si>
    <t>leaverd</t>
  </si>
  <si>
    <t>Unleaverd</t>
  </si>
  <si>
    <r>
      <t xml:space="preserve">tax Rate 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</si>
  <si>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 xml:space="preserve">Beta 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</si>
  <si>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 xml:space="preserve">Beta 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</si>
  <si>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Hindutan Unileaver</t>
  </si>
  <si>
    <t>Nestle india</t>
  </si>
  <si>
    <t>Godrej Consumer</t>
  </si>
  <si>
    <t>Dabur India</t>
  </si>
  <si>
    <t xml:space="preserve">Britania India </t>
  </si>
  <si>
    <t>Nmes of the Company Country</t>
  </si>
  <si>
    <t>India</t>
  </si>
  <si>
    <t xml:space="preserve">Avarage </t>
  </si>
  <si>
    <t>pre Tax Cost of Debt</t>
  </si>
  <si>
    <t>Tax Rate</t>
  </si>
  <si>
    <t>Cost Of Debt</t>
  </si>
  <si>
    <t>Profit tax Cost of Debt</t>
  </si>
  <si>
    <t>Cost Of Equity</t>
  </si>
  <si>
    <t>Risk Free Rate</t>
  </si>
  <si>
    <t>Equity Risk Premium</t>
  </si>
  <si>
    <r>
      <t xml:space="preserve">Leaverd Beta </t>
    </r>
    <r>
      <rPr>
        <vertAlign val="superscript"/>
        <sz val="11"/>
        <color theme="1"/>
        <rFont val="Calibri"/>
        <family val="2"/>
        <scheme val="minor"/>
      </rPr>
      <t>4</t>
    </r>
  </si>
  <si>
    <t>Cost of Equity</t>
  </si>
  <si>
    <t>Capital structure</t>
  </si>
  <si>
    <t xml:space="preserve">Current </t>
  </si>
  <si>
    <t>Target</t>
  </si>
  <si>
    <t>Market Capitalisation</t>
  </si>
  <si>
    <t>Total Capital</t>
  </si>
  <si>
    <t>Leavered Beta</t>
  </si>
  <si>
    <t>Comp Median Unleaverded Beta</t>
  </si>
  <si>
    <t>Target Debt/Equity</t>
  </si>
  <si>
    <t>Tax rate</t>
  </si>
  <si>
    <t>Debt/Equity</t>
  </si>
  <si>
    <t>Weighted Avarage Cost of Capital</t>
  </si>
  <si>
    <t>Debt</t>
  </si>
  <si>
    <t>Total Weight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</si>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</sst>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(* #,##0.00_);_(* \(#,##0.00\);_(* &quot;-&quot;??_);_(@_)"/>
    <numFmt numFmtId="165" formatCode="_ * #,##0.00_ ;_ * \-#,##0.00_ ;_ * &quot;-&quot;??_ ;_ @_ "/>
    <numFmt numFmtId="166" formatCode="[$-409]mmm\-yy;@"/>
    <numFmt numFmtId="167" formatCode="[$₹-439]#,##0.00;[Red][$₹-439]\-#,##0.00"/>
    <numFmt numFmtId="168" formatCode="[$₹-439]#,##0.0"/>
    <numFmt numFmtId="169" formatCode="[$₹-44A]#,##0.00"/>
    <numFmt numFmtId="170" formatCode="[$₹-439]#,##0.00;[Red][$₹-439]\(\-#,##0.00\)"/>
    <numFmt numFmtId="171" formatCode="[$₹-439]#,##0.00;[$₹-439]\(\-#,##0.00\)"/>
    <numFmt numFmtId="172" formatCode="#,##0.0"/>
    <numFmt numFmtId="173" formatCode="0.000%"/>
    <numFmt numFmtId="174" formatCode="0.0&quot;%&quot;"/>
    <numFmt numFmtId="175" formatCode="0.00&quot;%&quot;"/>
    <numFmt numFmtId="176" formatCode="0\ &quot;Days&quot;"/>
    <numFmt numFmtId="177" formatCode="0&quot;A&quot;"/>
    <numFmt numFmtId="178" formatCode="0&quot;E&quot;"/>
    <numFmt numFmtId="179" formatCode="0.0%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66FF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rgb="FF0275D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</borders>
  <cellStyleXfs count="7">
    <xf numFmtId="0" fontId="0" fillId="0" borderId="0"/>
    <xf numFmtId="165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18">
    <xf numFmtId="0" fontId="0" fillId="0" borderId="0" xfId="0"/>
    <xf numFmtId="165" fontId="1" fillId="0" borderId="0" xfId="1" applyFont="1" applyBorder="1"/>
    <xf numFmtId="0" fontId="1" fillId="0" borderId="0" xfId="0" applyFont="1" applyFill="1" applyBorder="1"/>
    <xf numFmtId="0" fontId="6" fillId="0" borderId="0" xfId="0" applyFont="1" applyFill="1" applyBorder="1" applyAlignment="1"/>
    <xf numFmtId="0" fontId="1" fillId="0" borderId="0" xfId="0" applyFont="1" applyFill="1" applyBorder="1" applyAlignment="1"/>
    <xf numFmtId="165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5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5" fontId="2" fillId="2" borderId="0" xfId="3" applyNumberFormat="1" applyFont="1" applyBorder="1"/>
    <xf numFmtId="165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6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5" fontId="0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center"/>
    </xf>
    <xf numFmtId="165" fontId="0" fillId="0" borderId="0" xfId="1" applyNumberFormat="1" applyFont="1" applyBorder="1"/>
    <xf numFmtId="10" fontId="1" fillId="0" borderId="0" xfId="0" applyNumberFormat="1" applyFont="1" applyBorder="1"/>
    <xf numFmtId="166" fontId="2" fillId="5" borderId="0" xfId="1" applyNumberFormat="1" applyFont="1" applyFill="1" applyBorder="1"/>
    <xf numFmtId="166" fontId="7" fillId="0" borderId="0" xfId="1" applyNumberFormat="1" applyFont="1" applyFill="1" applyBorder="1"/>
    <xf numFmtId="0" fontId="0" fillId="0" borderId="0" xfId="0" applyFont="1" applyFill="1" applyBorder="1"/>
    <xf numFmtId="164" fontId="0" fillId="0" borderId="0" xfId="1" applyNumberFormat="1" applyFont="1" applyBorder="1"/>
    <xf numFmtId="0" fontId="0" fillId="6" borderId="0" xfId="0" applyFill="1"/>
    <xf numFmtId="0" fontId="1" fillId="6" borderId="0" xfId="0" applyFont="1" applyFill="1"/>
    <xf numFmtId="0" fontId="8" fillId="6" borderId="0" xfId="0" applyFont="1" applyFill="1"/>
    <xf numFmtId="10" fontId="8" fillId="6" borderId="0" xfId="6" applyNumberFormat="1" applyFont="1" applyFill="1"/>
    <xf numFmtId="0" fontId="1" fillId="7" borderId="0" xfId="0" applyFont="1" applyFill="1" applyAlignment="1">
      <alignment horizontal="left"/>
    </xf>
    <xf numFmtId="0" fontId="1" fillId="7" borderId="0" xfId="0" applyFont="1" applyFill="1" applyAlignment="1">
      <alignment horizontal="left" indent="4"/>
    </xf>
    <xf numFmtId="17" fontId="1" fillId="7" borderId="0" xfId="0" applyNumberFormat="1" applyFont="1" applyFill="1" applyAlignment="1"/>
    <xf numFmtId="168" fontId="1" fillId="6" borderId="0" xfId="0" applyNumberFormat="1" applyFont="1" applyFill="1"/>
    <xf numFmtId="49" fontId="1" fillId="7" borderId="0" xfId="0" applyNumberFormat="1" applyFont="1" applyFill="1" applyAlignment="1">
      <alignment horizontal="left"/>
    </xf>
    <xf numFmtId="0" fontId="1" fillId="8" borderId="0" xfId="0" applyFont="1" applyFill="1"/>
    <xf numFmtId="0" fontId="0" fillId="8" borderId="0" xfId="0" applyFill="1"/>
    <xf numFmtId="169" fontId="0" fillId="6" borderId="0" xfId="0" applyNumberFormat="1" applyFill="1"/>
    <xf numFmtId="164" fontId="0" fillId="6" borderId="0" xfId="0" applyNumberFormat="1" applyFill="1"/>
    <xf numFmtId="170" fontId="1" fillId="6" borderId="0" xfId="0" applyNumberFormat="1" applyFont="1" applyFill="1"/>
    <xf numFmtId="171" fontId="1" fillId="6" borderId="0" xfId="0" applyNumberFormat="1" applyFont="1" applyFill="1"/>
    <xf numFmtId="0" fontId="1" fillId="6" borderId="1" xfId="0" applyFont="1" applyFill="1" applyBorder="1"/>
    <xf numFmtId="168" fontId="1" fillId="6" borderId="1" xfId="0" applyNumberFormat="1" applyFont="1" applyFill="1" applyBorder="1"/>
    <xf numFmtId="0" fontId="0" fillId="9" borderId="0" xfId="0" applyFill="1"/>
    <xf numFmtId="0" fontId="5" fillId="10" borderId="0" xfId="0" applyFont="1" applyFill="1"/>
    <xf numFmtId="0" fontId="0" fillId="9" borderId="0" xfId="0" applyFill="1" applyAlignment="1">
      <alignment horizontal="left"/>
    </xf>
    <xf numFmtId="172" fontId="9" fillId="9" borderId="0" xfId="0" applyNumberFormat="1" applyFont="1" applyFill="1" applyAlignment="1">
      <alignment horizontal="center"/>
    </xf>
    <xf numFmtId="10" fontId="0" fillId="9" borderId="0" xfId="6" applyNumberFormat="1" applyFont="1" applyFill="1"/>
    <xf numFmtId="171" fontId="0" fillId="6" borderId="0" xfId="0" applyNumberFormat="1" applyFont="1" applyFill="1"/>
    <xf numFmtId="169" fontId="1" fillId="6" borderId="0" xfId="0" applyNumberFormat="1" applyFont="1" applyFill="1"/>
    <xf numFmtId="0" fontId="1" fillId="6" borderId="0" xfId="0" applyNumberFormat="1" applyFont="1" applyFill="1"/>
    <xf numFmtId="167" fontId="0" fillId="6" borderId="0" xfId="0" applyNumberFormat="1" applyFont="1" applyFill="1"/>
    <xf numFmtId="0" fontId="0" fillId="6" borderId="0" xfId="0" applyFont="1" applyFill="1"/>
    <xf numFmtId="168" fontId="0" fillId="6" borderId="0" xfId="0" applyNumberFormat="1" applyFont="1" applyFill="1"/>
    <xf numFmtId="173" fontId="1" fillId="6" borderId="0" xfId="0" applyNumberFormat="1" applyFont="1" applyFill="1"/>
    <xf numFmtId="10" fontId="0" fillId="6" borderId="0" xfId="6" applyNumberFormat="1" applyFont="1" applyFill="1"/>
    <xf numFmtId="0" fontId="1" fillId="9" borderId="0" xfId="0" applyFont="1" applyFill="1"/>
    <xf numFmtId="0" fontId="1" fillId="6" borderId="0" xfId="0" applyFont="1" applyFill="1" applyBorder="1"/>
    <xf numFmtId="0" fontId="1" fillId="9" borderId="2" xfId="0" applyFont="1" applyFill="1" applyBorder="1"/>
    <xf numFmtId="10" fontId="0" fillId="9" borderId="2" xfId="6" applyNumberFormat="1" applyFont="1" applyFill="1" applyBorder="1"/>
    <xf numFmtId="0" fontId="1" fillId="9" borderId="0" xfId="0" applyFont="1" applyFill="1" applyBorder="1"/>
    <xf numFmtId="0" fontId="0" fillId="9" borderId="0" xfId="0" applyFill="1" applyBorder="1"/>
    <xf numFmtId="10" fontId="0" fillId="9" borderId="0" xfId="6" applyNumberFormat="1" applyFont="1" applyFill="1" applyBorder="1"/>
    <xf numFmtId="0" fontId="1" fillId="9" borderId="3" xfId="0" applyFont="1" applyFill="1" applyBorder="1"/>
    <xf numFmtId="0" fontId="0" fillId="9" borderId="3" xfId="0" applyFill="1" applyBorder="1"/>
    <xf numFmtId="10" fontId="0" fillId="9" borderId="3" xfId="6" applyNumberFormat="1" applyFont="1" applyFill="1" applyBorder="1"/>
    <xf numFmtId="10" fontId="0" fillId="9" borderId="3" xfId="0" applyNumberFormat="1" applyFill="1" applyBorder="1"/>
    <xf numFmtId="174" fontId="0" fillId="9" borderId="3" xfId="6" applyNumberFormat="1" applyFont="1" applyFill="1" applyBorder="1"/>
    <xf numFmtId="9" fontId="0" fillId="9" borderId="0" xfId="6" applyFont="1" applyFill="1"/>
    <xf numFmtId="175" fontId="0" fillId="9" borderId="2" xfId="6" applyNumberFormat="1" applyFont="1" applyFill="1" applyBorder="1"/>
    <xf numFmtId="174" fontId="0" fillId="9" borderId="2" xfId="6" applyNumberFormat="1" applyFont="1" applyFill="1" applyBorder="1"/>
    <xf numFmtId="175" fontId="0" fillId="9" borderId="0" xfId="6" applyNumberFormat="1" applyFont="1" applyFill="1" applyBorder="1"/>
    <xf numFmtId="175" fontId="0" fillId="9" borderId="3" xfId="6" applyNumberFormat="1" applyFont="1" applyFill="1" applyBorder="1"/>
    <xf numFmtId="176" fontId="0" fillId="9" borderId="2" xfId="0" applyNumberFormat="1" applyFill="1" applyBorder="1"/>
    <xf numFmtId="176" fontId="0" fillId="9" borderId="0" xfId="0" applyNumberFormat="1" applyFill="1" applyBorder="1"/>
    <xf numFmtId="176" fontId="0" fillId="9" borderId="3" xfId="0" applyNumberFormat="1" applyFill="1" applyBorder="1"/>
    <xf numFmtId="0" fontId="10" fillId="11" borderId="4" xfId="0" applyFont="1" applyFill="1" applyBorder="1" applyAlignment="1">
      <alignment horizontal="left" indent="4"/>
    </xf>
    <xf numFmtId="0" fontId="10" fillId="11" borderId="4" xfId="0" applyFont="1" applyFill="1" applyBorder="1" applyAlignment="1">
      <alignment horizontal="left"/>
    </xf>
    <xf numFmtId="17" fontId="10" fillId="11" borderId="4" xfId="0" applyNumberFormat="1" applyFont="1" applyFill="1" applyBorder="1" applyAlignment="1"/>
    <xf numFmtId="49" fontId="10" fillId="11" borderId="5" xfId="0" applyNumberFormat="1" applyFont="1" applyFill="1" applyBorder="1" applyAlignment="1">
      <alignment horizontal="left"/>
    </xf>
    <xf numFmtId="17" fontId="10" fillId="11" borderId="5" xfId="0" applyNumberFormat="1" applyFont="1" applyFill="1" applyBorder="1" applyAlignment="1"/>
    <xf numFmtId="0" fontId="0" fillId="9" borderId="2" xfId="0" applyFill="1" applyBorder="1"/>
    <xf numFmtId="17" fontId="10" fillId="11" borderId="5" xfId="0" applyNumberFormat="1" applyFont="1" applyFill="1" applyBorder="1" applyAlignment="1">
      <alignment horizontal="center"/>
    </xf>
    <xf numFmtId="0" fontId="5" fillId="10" borderId="0" xfId="0" applyFont="1" applyFill="1" applyAlignment="1">
      <alignment horizontal="center"/>
    </xf>
    <xf numFmtId="177" fontId="0" fillId="9" borderId="0" xfId="0" applyNumberFormat="1" applyFill="1" applyAlignment="1">
      <alignment horizontal="center"/>
    </xf>
    <xf numFmtId="178" fontId="0" fillId="9" borderId="0" xfId="0" applyNumberFormat="1" applyFill="1" applyAlignment="1">
      <alignment horizontal="center"/>
    </xf>
    <xf numFmtId="0" fontId="0" fillId="9" borderId="0" xfId="0" applyFill="1" applyAlignment="1">
      <alignment horizontal="left" indent="6"/>
    </xf>
    <xf numFmtId="0" fontId="5" fillId="0" borderId="0" xfId="0" applyFont="1" applyFill="1"/>
    <xf numFmtId="0" fontId="0" fillId="12" borderId="0" xfId="0" applyFill="1" applyAlignment="1">
      <alignment horizontal="left"/>
    </xf>
    <xf numFmtId="178" fontId="0" fillId="12" borderId="0" xfId="0" applyNumberFormat="1" applyFill="1" applyAlignment="1">
      <alignment horizontal="center"/>
    </xf>
    <xf numFmtId="172" fontId="9" fillId="12" borderId="0" xfId="0" applyNumberFormat="1" applyFont="1" applyFill="1" applyAlignment="1">
      <alignment horizontal="center"/>
    </xf>
    <xf numFmtId="10" fontId="0" fillId="12" borderId="0" xfId="6" applyNumberFormat="1" applyFont="1" applyFill="1"/>
    <xf numFmtId="0" fontId="11" fillId="13" borderId="0" xfId="0" applyFont="1" applyFill="1"/>
    <xf numFmtId="0" fontId="8" fillId="9" borderId="0" xfId="0" applyFont="1" applyFill="1"/>
    <xf numFmtId="0" fontId="0" fillId="9" borderId="0" xfId="0" applyFill="1" applyAlignment="1"/>
    <xf numFmtId="0" fontId="1" fillId="9" borderId="2" xfId="0" applyFont="1" applyFill="1" applyBorder="1" applyAlignment="1"/>
    <xf numFmtId="0" fontId="1" fillId="9" borderId="3" xfId="0" applyFont="1" applyFill="1" applyBorder="1" applyAlignment="1">
      <alignment vertical="top"/>
    </xf>
    <xf numFmtId="10" fontId="0" fillId="9" borderId="0" xfId="0" applyNumberFormat="1" applyFill="1"/>
    <xf numFmtId="2" fontId="0" fillId="9" borderId="0" xfId="0" applyNumberFormat="1" applyFill="1"/>
    <xf numFmtId="0" fontId="15" fillId="9" borderId="0" xfId="0" applyFont="1" applyFill="1"/>
    <xf numFmtId="172" fontId="15" fillId="9" borderId="0" xfId="0" applyNumberFormat="1" applyFont="1" applyFill="1"/>
    <xf numFmtId="2" fontId="14" fillId="9" borderId="0" xfId="0" applyNumberFormat="1" applyFont="1" applyFill="1"/>
    <xf numFmtId="2" fontId="0" fillId="9" borderId="2" xfId="0" applyNumberFormat="1" applyFill="1" applyBorder="1"/>
    <xf numFmtId="9" fontId="0" fillId="9" borderId="0" xfId="0" applyNumberFormat="1" applyFill="1"/>
    <xf numFmtId="2" fontId="0" fillId="9" borderId="3" xfId="0" applyNumberFormat="1" applyFill="1" applyBorder="1"/>
    <xf numFmtId="0" fontId="5" fillId="0" borderId="0" xfId="0" applyFont="1"/>
    <xf numFmtId="0" fontId="5" fillId="9" borderId="0" xfId="0" applyFont="1" applyFill="1"/>
    <xf numFmtId="0" fontId="9" fillId="9" borderId="0" xfId="0" applyFont="1" applyFill="1"/>
    <xf numFmtId="9" fontId="9" fillId="9" borderId="0" xfId="0" applyNumberFormat="1" applyFont="1" applyFill="1"/>
    <xf numFmtId="9" fontId="0" fillId="9" borderId="2" xfId="0" applyNumberFormat="1" applyFill="1" applyBorder="1"/>
    <xf numFmtId="10" fontId="9" fillId="9" borderId="0" xfId="0" applyNumberFormat="1" applyFont="1" applyFill="1"/>
    <xf numFmtId="0" fontId="1" fillId="9" borderId="3" xfId="0" applyFont="1" applyFill="1" applyBorder="1" applyAlignment="1">
      <alignment horizontal="center"/>
    </xf>
    <xf numFmtId="179" fontId="0" fillId="12" borderId="0" xfId="0" applyNumberFormat="1" applyFill="1"/>
    <xf numFmtId="10" fontId="0" fillId="9" borderId="2" xfId="0" applyNumberFormat="1" applyFill="1" applyBorder="1"/>
    <xf numFmtId="2" fontId="9" fillId="9" borderId="0" xfId="0" applyNumberFormat="1" applyFont="1" applyFill="1"/>
    <xf numFmtId="165" fontId="4" fillId="0" borderId="0" xfId="2" applyNumberFormat="1" applyBorder="1" applyAlignment="1" applyProtection="1">
      <alignment horizontal="center"/>
    </xf>
    <xf numFmtId="165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19">
    <dxf>
      <font>
        <b/>
        <i val="0"/>
        <color theme="0"/>
      </font>
      <fill>
        <patternFill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066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18">
  <tableColumns count="14">
    <tableColumn id="1" xr3:uid="{00000000-0010-0000-0000-000001000000}" name="Column1" headerRowDxfId="17" dataDxfId="16"/>
    <tableColumn id="2" xr3:uid="{00000000-0010-0000-0000-000002000000}" name="Column2" headerRowDxfId="15"/>
    <tableColumn id="3" xr3:uid="{00000000-0010-0000-0000-000003000000}" name="Column3" headerRowDxfId="14"/>
    <tableColumn id="4" xr3:uid="{00000000-0010-0000-0000-000004000000}" name="Column4" headerRowDxfId="13"/>
    <tableColumn id="5" xr3:uid="{00000000-0010-0000-0000-000005000000}" name="Column5" headerRowDxfId="12"/>
    <tableColumn id="6" xr3:uid="{00000000-0010-0000-0000-000006000000}" name="Column6" headerRowDxfId="11"/>
    <tableColumn id="7" xr3:uid="{00000000-0010-0000-0000-000007000000}" name="Column7" headerRowDxfId="10"/>
    <tableColumn id="8" xr3:uid="{00000000-0010-0000-0000-000008000000}" name="Column8" headerRowDxfId="9"/>
    <tableColumn id="9" xr3:uid="{00000000-0010-0000-0000-000009000000}" name="Column9" headerRowDxfId="8"/>
    <tableColumn id="10" xr3:uid="{00000000-0010-0000-0000-00000A000000}" name="Column10" headerRowDxfId="7"/>
    <tableColumn id="11" xr3:uid="{00000000-0010-0000-0000-00000B000000}" name="Column11" headerRowDxfId="6"/>
    <tableColumn id="12" xr3:uid="{00000000-0010-0000-0000-00000C000000}" name="Column12" headerRowDxfId="5"/>
    <tableColumn id="13" xr3:uid="{00000000-0010-0000-0000-00000D000000}" name="Column13" headerRowDxfId="4" dataDxfId="3"/>
    <tableColumn id="14" xr3:uid="{00000000-0010-0000-0000-00000E000000}" name="Column14" headerRowDxfId="2" dataDxfId="1"/>
  </tableColumns>
  <tableStyleInfo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5546875" defaultRowHeight="15" x14ac:dyDescent="0.25"/>
  <cols>
    <col min="1" max="1" width="20.7109375" style="6" customWidth="1"/>
    <col min="2" max="6" width="13.42578125" style="6" customWidth="1"/>
    <col min="7" max="7" width="14.85546875" style="6" bestFit="1" customWidth="1"/>
    <col min="8" max="11" width="13.42578125" style="6" customWidth="1"/>
    <col min="12" max="12" width="13.28515625" style="6" customWidth="1"/>
    <col min="13" max="14" width="12.140625" style="6" customWidth="1"/>
    <col min="15" max="16384" width="8.85546875" style="6"/>
  </cols>
  <sheetData>
    <row r="1" spans="1:14" s="8" customFormat="1" x14ac:dyDescent="0.25">
      <c r="A1" s="8" t="str">
        <f>'Data Sheet'!B1</f>
        <v>RELIANCE INDUSTRIES LTD</v>
      </c>
      <c r="H1" t="str">
        <f>UPDATE</f>
        <v/>
      </c>
      <c r="J1" s="3"/>
      <c r="K1" s="3"/>
      <c r="M1" s="8" t="s">
        <v>1</v>
      </c>
    </row>
    <row r="3" spans="1:14" s="2" customFormat="1" x14ac:dyDescent="0.25">
      <c r="A3" s="15" t="s">
        <v>2</v>
      </c>
      <c r="B3" s="16">
        <f>'Data Sheet'!B16</f>
        <v>42825</v>
      </c>
      <c r="C3" s="16">
        <f>'Data Sheet'!C16</f>
        <v>43190</v>
      </c>
      <c r="D3" s="16">
        <f>'Data Sheet'!D16</f>
        <v>43555</v>
      </c>
      <c r="E3" s="16">
        <f>'Data Sheet'!E16</f>
        <v>43921</v>
      </c>
      <c r="F3" s="16">
        <f>'Data Sheet'!F16</f>
        <v>44286</v>
      </c>
      <c r="G3" s="16">
        <f>'Data Sheet'!G16</f>
        <v>44651</v>
      </c>
      <c r="H3" s="16">
        <f>'Data Sheet'!H16</f>
        <v>45016</v>
      </c>
      <c r="I3" s="16">
        <f>'Data Sheet'!I16</f>
        <v>45382</v>
      </c>
      <c r="J3" s="16">
        <f>'Data Sheet'!J16</f>
        <v>45747</v>
      </c>
      <c r="K3" s="16">
        <f>'Data Sheet'!K16</f>
        <v>46112</v>
      </c>
      <c r="L3" s="17" t="s">
        <v>3</v>
      </c>
      <c r="M3" s="17" t="s">
        <v>4</v>
      </c>
      <c r="N3" s="17" t="s">
        <v>5</v>
      </c>
    </row>
    <row r="4" spans="1:14" s="8" customFormat="1" x14ac:dyDescent="0.25">
      <c r="A4" s="8" t="s">
        <v>6</v>
      </c>
      <c r="B4" s="1">
        <f>'Data Sheet'!B17</f>
        <v>303954</v>
      </c>
      <c r="C4" s="1">
        <f>'Data Sheet'!C17</f>
        <v>390823</v>
      </c>
      <c r="D4" s="1">
        <f>'Data Sheet'!D17</f>
        <v>568337</v>
      </c>
      <c r="E4" s="1">
        <f>'Data Sheet'!E17</f>
        <v>596679</v>
      </c>
      <c r="F4" s="1">
        <f>'Data Sheet'!F17</f>
        <v>466307</v>
      </c>
      <c r="G4" s="1">
        <f>'Data Sheet'!G17</f>
        <v>694673</v>
      </c>
      <c r="H4" s="1">
        <f>'Data Sheet'!H17</f>
        <v>876396</v>
      </c>
      <c r="I4" s="1">
        <f>'Data Sheet'!I17</f>
        <v>899041</v>
      </c>
      <c r="J4" s="1">
        <f>'Data Sheet'!J17</f>
        <v>962820</v>
      </c>
      <c r="K4" s="1">
        <f>'Data Sheet'!K17</f>
        <v>1057219</v>
      </c>
      <c r="L4" s="1" t="e">
        <f>SUM(#REF!)</f>
        <v>#REF!</v>
      </c>
      <c r="M4" s="1">
        <f>$K4+M23*K4</f>
        <v>1125433.4450209215</v>
      </c>
      <c r="N4" s="1" t="e">
        <f>$K4+N23*L4</f>
        <v>#REF!</v>
      </c>
    </row>
    <row r="5" spans="1:14" x14ac:dyDescent="0.25">
      <c r="A5" s="6" t="s">
        <v>7</v>
      </c>
      <c r="B5" s="9">
        <f>SUM('Data Sheet'!B18,'Data Sheet'!B20:B24, -1*'Data Sheet'!B19)</f>
        <v>257647</v>
      </c>
      <c r="C5" s="9">
        <f>SUM('Data Sheet'!C18,'Data Sheet'!C20:C24, -1*'Data Sheet'!C19)</f>
        <v>326508</v>
      </c>
      <c r="D5" s="9">
        <f>SUM('Data Sheet'!D18,'Data Sheet'!D20:D24, -1*'Data Sheet'!D19)</f>
        <v>484087</v>
      </c>
      <c r="E5" s="9">
        <f>SUM('Data Sheet'!E18,'Data Sheet'!E20:E24, -1*'Data Sheet'!E19)</f>
        <v>507413</v>
      </c>
      <c r="F5" s="9">
        <f>SUM('Data Sheet'!F18,'Data Sheet'!F20:F24, -1*'Data Sheet'!F19)</f>
        <v>385517</v>
      </c>
      <c r="G5" s="9">
        <f>SUM('Data Sheet'!G18,'Data Sheet'!G20:G24, -1*'Data Sheet'!G19)</f>
        <v>586092</v>
      </c>
      <c r="H5" s="9">
        <f>SUM('Data Sheet'!H18,'Data Sheet'!H20:H24, -1*'Data Sheet'!H19)</f>
        <v>734078</v>
      </c>
      <c r="I5" s="9">
        <f>SUM('Data Sheet'!I18,'Data Sheet'!I20:I24, -1*'Data Sheet'!I19)</f>
        <v>736543</v>
      </c>
      <c r="J5" s="9">
        <f>SUM('Data Sheet'!J18,'Data Sheet'!J20:J24, -1*'Data Sheet'!J19)</f>
        <v>797222</v>
      </c>
      <c r="K5" s="9">
        <f>SUM('Data Sheet'!K18,'Data Sheet'!K20:K24, -1*'Data Sheet'!K19)</f>
        <v>878270</v>
      </c>
      <c r="L5" s="9" t="e">
        <f>SUM(#REF!)</f>
        <v>#REF!</v>
      </c>
      <c r="M5" s="9" t="e">
        <f t="shared" ref="M5:N5" si="0">M4-M6</f>
        <v>#REF!</v>
      </c>
      <c r="N5" s="9" t="e">
        <f t="shared" si="0"/>
        <v>#REF!</v>
      </c>
    </row>
    <row r="6" spans="1:14" s="8" customFormat="1" x14ac:dyDescent="0.25">
      <c r="A6" s="8" t="s">
        <v>8</v>
      </c>
      <c r="B6" s="1">
        <f>B4-B5</f>
        <v>46307</v>
      </c>
      <c r="C6" s="1">
        <f t="shared" ref="C6:K6" si="1">C4-C5</f>
        <v>64315</v>
      </c>
      <c r="D6" s="1">
        <f t="shared" si="1"/>
        <v>84250</v>
      </c>
      <c r="E6" s="1">
        <f t="shared" si="1"/>
        <v>89266</v>
      </c>
      <c r="F6" s="1">
        <f t="shared" si="1"/>
        <v>80790</v>
      </c>
      <c r="G6" s="1">
        <f t="shared" si="1"/>
        <v>108581</v>
      </c>
      <c r="H6" s="1">
        <f t="shared" si="1"/>
        <v>142318</v>
      </c>
      <c r="I6" s="1">
        <f t="shared" si="1"/>
        <v>162498</v>
      </c>
      <c r="J6" s="1">
        <f t="shared" si="1"/>
        <v>165598</v>
      </c>
      <c r="K6" s="1">
        <f t="shared" si="1"/>
        <v>178949</v>
      </c>
      <c r="L6" s="1" t="e">
        <f>SUM(#REF!)</f>
        <v>#REF!</v>
      </c>
      <c r="M6" s="1" t="e">
        <f>M4*M24</f>
        <v>#REF!</v>
      </c>
      <c r="N6" s="1" t="e">
        <f>N4*N24</f>
        <v>#REF!</v>
      </c>
    </row>
    <row r="7" spans="1:14" x14ac:dyDescent="0.25">
      <c r="A7" s="6" t="s">
        <v>9</v>
      </c>
      <c r="B7" s="9">
        <f>'Data Sheet'!B25</f>
        <v>9222</v>
      </c>
      <c r="C7" s="9">
        <f>'Data Sheet'!C25</f>
        <v>9869</v>
      </c>
      <c r="D7" s="9">
        <f>'Data Sheet'!D25</f>
        <v>8406</v>
      </c>
      <c r="E7" s="9">
        <f>'Data Sheet'!E25</f>
        <v>8570</v>
      </c>
      <c r="F7" s="9">
        <f>'Data Sheet'!F25</f>
        <v>22432</v>
      </c>
      <c r="G7" s="9">
        <f>'Data Sheet'!G25</f>
        <v>19600</v>
      </c>
      <c r="H7" s="9">
        <f>'Data Sheet'!H25</f>
        <v>12020</v>
      </c>
      <c r="I7" s="9">
        <f>'Data Sheet'!I25</f>
        <v>15792</v>
      </c>
      <c r="J7" s="9">
        <f>'Data Sheet'!J25</f>
        <v>17824</v>
      </c>
      <c r="K7" s="9">
        <f>'Data Sheet'!K25</f>
        <v>28962</v>
      </c>
      <c r="L7" s="9" t="e">
        <f>SUM(#REF!)</f>
        <v>#REF!</v>
      </c>
      <c r="M7" s="9">
        <v>0</v>
      </c>
      <c r="N7" s="9">
        <v>0</v>
      </c>
    </row>
    <row r="8" spans="1:14" x14ac:dyDescent="0.25">
      <c r="A8" s="6" t="s">
        <v>10</v>
      </c>
      <c r="B8" s="9">
        <f>'Data Sheet'!B26</f>
        <v>11646</v>
      </c>
      <c r="C8" s="9">
        <f>'Data Sheet'!C26</f>
        <v>16706</v>
      </c>
      <c r="D8" s="9">
        <f>'Data Sheet'!D26</f>
        <v>20934</v>
      </c>
      <c r="E8" s="9">
        <f>'Data Sheet'!E26</f>
        <v>22203</v>
      </c>
      <c r="F8" s="9">
        <f>'Data Sheet'!F26</f>
        <v>26572</v>
      </c>
      <c r="G8" s="9">
        <f>'Data Sheet'!G26</f>
        <v>29782</v>
      </c>
      <c r="H8" s="9">
        <f>'Data Sheet'!H26</f>
        <v>40303</v>
      </c>
      <c r="I8" s="9">
        <f>'Data Sheet'!I26</f>
        <v>50832</v>
      </c>
      <c r="J8" s="9">
        <f>'Data Sheet'!J26</f>
        <v>53136</v>
      </c>
      <c r="K8" s="9">
        <f>'Data Sheet'!K26</f>
        <v>57688</v>
      </c>
      <c r="L8" s="9" t="e">
        <f>SUM(#REF!)</f>
        <v>#REF!</v>
      </c>
      <c r="M8" s="9" t="e">
        <f>+$L8</f>
        <v>#REF!</v>
      </c>
      <c r="N8" s="9" t="e">
        <f>+$L8</f>
        <v>#REF!</v>
      </c>
    </row>
    <row r="9" spans="1:14" x14ac:dyDescent="0.25">
      <c r="A9" s="6" t="s">
        <v>11</v>
      </c>
      <c r="B9" s="9">
        <f>'Data Sheet'!B27</f>
        <v>3849</v>
      </c>
      <c r="C9" s="9">
        <f>'Data Sheet'!C27</f>
        <v>8052</v>
      </c>
      <c r="D9" s="9">
        <f>'Data Sheet'!D27</f>
        <v>16495</v>
      </c>
      <c r="E9" s="9">
        <f>'Data Sheet'!E27</f>
        <v>22027</v>
      </c>
      <c r="F9" s="9">
        <f>'Data Sheet'!F27</f>
        <v>21189</v>
      </c>
      <c r="G9" s="9">
        <f>'Data Sheet'!G27</f>
        <v>14584</v>
      </c>
      <c r="H9" s="9">
        <f>'Data Sheet'!H27</f>
        <v>19571</v>
      </c>
      <c r="I9" s="9">
        <f>'Data Sheet'!I27</f>
        <v>23118</v>
      </c>
      <c r="J9" s="9">
        <f>'Data Sheet'!J27</f>
        <v>24269</v>
      </c>
      <c r="K9" s="9">
        <f>'Data Sheet'!K27</f>
        <v>27061</v>
      </c>
      <c r="L9" s="9" t="e">
        <f>SUM(#REF!)</f>
        <v>#REF!</v>
      </c>
      <c r="M9" s="9" t="e">
        <f>+$L9</f>
        <v>#REF!</v>
      </c>
      <c r="N9" s="9" t="e">
        <f>+$L9</f>
        <v>#REF!</v>
      </c>
    </row>
    <row r="10" spans="1:14" x14ac:dyDescent="0.25">
      <c r="A10" s="6" t="s">
        <v>12</v>
      </c>
      <c r="B10" s="9">
        <f>'Data Sheet'!B28</f>
        <v>40034</v>
      </c>
      <c r="C10" s="9">
        <f>'Data Sheet'!C28</f>
        <v>49426</v>
      </c>
      <c r="D10" s="9">
        <f>'Data Sheet'!D28</f>
        <v>55227</v>
      </c>
      <c r="E10" s="9">
        <f>'Data Sheet'!E28</f>
        <v>53606</v>
      </c>
      <c r="F10" s="9">
        <f>'Data Sheet'!F28</f>
        <v>55461</v>
      </c>
      <c r="G10" s="9">
        <f>'Data Sheet'!G28</f>
        <v>83815</v>
      </c>
      <c r="H10" s="9">
        <f>'Data Sheet'!H28</f>
        <v>94464</v>
      </c>
      <c r="I10" s="9">
        <f>'Data Sheet'!I28</f>
        <v>104340</v>
      </c>
      <c r="J10" s="9">
        <f>'Data Sheet'!J28</f>
        <v>106017</v>
      </c>
      <c r="K10" s="9">
        <f>'Data Sheet'!K28</f>
        <v>123162</v>
      </c>
      <c r="L10" s="9" t="e">
        <f>SUM(#REF!)</f>
        <v>#REF!</v>
      </c>
      <c r="M10" s="9" t="e">
        <f>M6+M7-SUM(M8:M9)</f>
        <v>#REF!</v>
      </c>
      <c r="N10" s="9" t="e">
        <f>N6+N7-SUM(N8:N9)</f>
        <v>#REF!</v>
      </c>
    </row>
    <row r="11" spans="1:14" x14ac:dyDescent="0.25">
      <c r="A11" s="6" t="s">
        <v>13</v>
      </c>
      <c r="B11" s="9">
        <f>'Data Sheet'!B29</f>
        <v>10201</v>
      </c>
      <c r="C11" s="9">
        <f>'Data Sheet'!C29</f>
        <v>13346</v>
      </c>
      <c r="D11" s="9">
        <f>'Data Sheet'!D29</f>
        <v>15390</v>
      </c>
      <c r="E11" s="9">
        <f>'Data Sheet'!E29</f>
        <v>13726</v>
      </c>
      <c r="F11" s="9">
        <f>'Data Sheet'!F29</f>
        <v>1722</v>
      </c>
      <c r="G11" s="9">
        <f>'Data Sheet'!G29</f>
        <v>15970</v>
      </c>
      <c r="H11" s="9">
        <f>'Data Sheet'!H29</f>
        <v>20376</v>
      </c>
      <c r="I11" s="9">
        <f>'Data Sheet'!I29</f>
        <v>25707</v>
      </c>
      <c r="J11" s="9">
        <f>'Data Sheet'!J29</f>
        <v>25230</v>
      </c>
      <c r="K11" s="9">
        <f>'Data Sheet'!K29</f>
        <v>27552</v>
      </c>
      <c r="L11" s="9" t="e">
        <f>SUM(#REF!)</f>
        <v>#REF!</v>
      </c>
      <c r="M11" s="10" t="e">
        <f>IF($L10&gt;0,$L11/$L10,0)</f>
        <v>#REF!</v>
      </c>
      <c r="N11" s="10" t="e">
        <f>IF($L10&gt;0,$L11/$L10,0)</f>
        <v>#REF!</v>
      </c>
    </row>
    <row r="12" spans="1:14" s="8" customFormat="1" x14ac:dyDescent="0.25">
      <c r="A12" s="8" t="s">
        <v>14</v>
      </c>
      <c r="B12" s="1">
        <f>'Data Sheet'!B30</f>
        <v>29901</v>
      </c>
      <c r="C12" s="1">
        <f>'Data Sheet'!C30</f>
        <v>36075</v>
      </c>
      <c r="D12" s="1">
        <f>'Data Sheet'!D30</f>
        <v>39588</v>
      </c>
      <c r="E12" s="1">
        <f>'Data Sheet'!E30</f>
        <v>39354</v>
      </c>
      <c r="F12" s="1">
        <f>'Data Sheet'!F30</f>
        <v>49128</v>
      </c>
      <c r="G12" s="1">
        <f>'Data Sheet'!G30</f>
        <v>60705</v>
      </c>
      <c r="H12" s="1">
        <f>'Data Sheet'!H30</f>
        <v>66702</v>
      </c>
      <c r="I12" s="1">
        <f>'Data Sheet'!I30</f>
        <v>69621</v>
      </c>
      <c r="J12" s="1">
        <f>'Data Sheet'!J30</f>
        <v>69648</v>
      </c>
      <c r="K12" s="1">
        <f>'Data Sheet'!K30</f>
        <v>80775</v>
      </c>
      <c r="L12" s="1" t="e">
        <f>SUM(#REF!)</f>
        <v>#REF!</v>
      </c>
      <c r="M12" s="1" t="e">
        <f>M10-M11*M10</f>
        <v>#REF!</v>
      </c>
      <c r="N12" s="1" t="e">
        <f>N10-N11*N10</f>
        <v>#REF!</v>
      </c>
    </row>
    <row r="13" spans="1:14" x14ac:dyDescent="0.25">
      <c r="A13" s="11" t="s">
        <v>48</v>
      </c>
      <c r="B13" s="9">
        <f>IF('Data Sheet'!B93&gt;0,B12/'Data Sheet'!B93,0)</f>
        <v>21.554620031429767</v>
      </c>
      <c r="C13" s="9">
        <f>IF('Data Sheet'!C93&gt;0,C12/'Data Sheet'!C93,0)</f>
        <v>26.694736530535224</v>
      </c>
      <c r="D13" s="9">
        <f>IF('Data Sheet'!D93&gt;0,D12/'Data Sheet'!D93,0)</f>
        <v>29.275435197373287</v>
      </c>
      <c r="E13" s="9">
        <f>IF('Data Sheet'!E93&gt;0,E12/'Data Sheet'!E93,0)</f>
        <v>29.100024401606071</v>
      </c>
      <c r="F13" s="9">
        <f>IF('Data Sheet'!F93&gt;0,F12/'Data Sheet'!F93,0)</f>
        <v>38.747840901024531</v>
      </c>
      <c r="G13" s="9">
        <f>IF('Data Sheet'!G93&gt;0,G12/'Data Sheet'!G93,0)</f>
        <v>44.867625537701961</v>
      </c>
      <c r="H13" s="9">
        <f>IF('Data Sheet'!H93&gt;0,H12/'Data Sheet'!H93,0)</f>
        <v>49.294962752749207</v>
      </c>
      <c r="I13" s="9">
        <f>IF('Data Sheet'!I93&gt;0,I12/'Data Sheet'!I93,0)</f>
        <v>51.45143887550438</v>
      </c>
      <c r="J13" s="9">
        <f>IF('Data Sheet'!J93&gt;0,J12/'Data Sheet'!J93,0)</f>
        <v>51.467588897756492</v>
      </c>
      <c r="K13" s="9">
        <f>IF('Data Sheet'!K93&gt;0,K12/'Data Sheet'!K93,0)</f>
        <v>59.689636061333829</v>
      </c>
      <c r="L13" s="9" t="e">
        <f>IF('Data Sheet'!$B6&gt;0,'Profit &amp; Loss'!L12/'Data Sheet'!$B6,0)</f>
        <v>#REF!</v>
      </c>
      <c r="M13" s="9" t="e">
        <f>IF('Data Sheet'!$B6&gt;0,'Profit &amp; Loss'!M12/'Data Sheet'!$B6,0)</f>
        <v>#REF!</v>
      </c>
      <c r="N13" s="9" t="e">
        <f>IF('Data Sheet'!$B6&gt;0,'Profit &amp; Loss'!N12/'Data Sheet'!$B6,0)</f>
        <v>#REF!</v>
      </c>
    </row>
    <row r="14" spans="1:14" x14ac:dyDescent="0.25">
      <c r="A14" s="6" t="s">
        <v>16</v>
      </c>
      <c r="B14" s="9">
        <f>IF(B15&gt;0,B15/B13,"")</f>
        <v>13.92230526738236</v>
      </c>
      <c r="C14" s="9">
        <f t="shared" ref="C14:K14" si="2">IF(C15&gt;0,C15/C13,"")</f>
        <v>15.02468471794872</v>
      </c>
      <c r="D14" s="9">
        <f t="shared" si="2"/>
        <v>21.158694851975344</v>
      </c>
      <c r="E14" s="9">
        <f t="shared" si="2"/>
        <v>17.390363424302485</v>
      </c>
      <c r="F14" s="9">
        <f t="shared" si="2"/>
        <v>23.71177280166097</v>
      </c>
      <c r="G14" s="9">
        <f t="shared" si="2"/>
        <v>26.935011280784121</v>
      </c>
      <c r="H14" s="9">
        <f t="shared" si="2"/>
        <v>21.690045803724026</v>
      </c>
      <c r="I14" s="9">
        <f t="shared" si="2"/>
        <v>28.87868701972106</v>
      </c>
      <c r="J14" s="9">
        <f t="shared" si="2"/>
        <v>24.774815127498275</v>
      </c>
      <c r="K14" s="9">
        <f t="shared" si="2"/>
        <v>22.514796347879912</v>
      </c>
      <c r="L14" s="9" t="e">
        <f t="shared" ref="L14" si="3">IF(L13&gt;0,L15/L13,0)</f>
        <v>#REF!</v>
      </c>
      <c r="M14" s="9" t="e">
        <f>M25</f>
        <v>#REF!</v>
      </c>
      <c r="N14" s="9" t="e">
        <f>N25</f>
        <v>#REF!</v>
      </c>
    </row>
    <row r="15" spans="1:14" s="8" customFormat="1" x14ac:dyDescent="0.25">
      <c r="A15" s="8" t="s">
        <v>49</v>
      </c>
      <c r="B15" s="1">
        <f>'Data Sheet'!B90</f>
        <v>300.08999999999997</v>
      </c>
      <c r="C15" s="1">
        <f>'Data Sheet'!C90</f>
        <v>401.08</v>
      </c>
      <c r="D15" s="1">
        <f>'Data Sheet'!D90</f>
        <v>619.42999999999995</v>
      </c>
      <c r="E15" s="1">
        <f>'Data Sheet'!E90</f>
        <v>506.06</v>
      </c>
      <c r="F15" s="1">
        <f>'Data Sheet'!F90</f>
        <v>918.78</v>
      </c>
      <c r="G15" s="1">
        <f>'Data Sheet'!G90</f>
        <v>1208.51</v>
      </c>
      <c r="H15" s="1">
        <f>'Data Sheet'!H90</f>
        <v>1069.21</v>
      </c>
      <c r="I15" s="1">
        <f>'Data Sheet'!I90</f>
        <v>1485.85</v>
      </c>
      <c r="J15" s="1">
        <f>'Data Sheet'!J90</f>
        <v>1275.0999999999999</v>
      </c>
      <c r="K15" s="1">
        <f>'Data Sheet'!K90</f>
        <v>1343.9</v>
      </c>
      <c r="L15" s="1">
        <f>'Data Sheet'!B8</f>
        <v>1410.7</v>
      </c>
      <c r="M15" s="12" t="e">
        <f>M13*M14</f>
        <v>#REF!</v>
      </c>
      <c r="N15" s="13" t="e">
        <f>N13*N14</f>
        <v>#REF!</v>
      </c>
    </row>
    <row r="17" spans="1:14" s="8" customFormat="1" x14ac:dyDescent="0.25">
      <c r="A17" s="8" t="s">
        <v>15</v>
      </c>
    </row>
    <row r="18" spans="1:14" x14ac:dyDescent="0.25">
      <c r="A18" s="6" t="s">
        <v>17</v>
      </c>
      <c r="B18" s="7">
        <f>IF('Data Sheet'!B30&gt;0, 'Data Sheet'!B31/'Data Sheet'!B30, 0)</f>
        <v>0.10885589110732083</v>
      </c>
      <c r="C18" s="7">
        <f>IF('Data Sheet'!C30&gt;0, 'Data Sheet'!C31/'Data Sheet'!C30, 0)</f>
        <v>9.8494802494802483E-2</v>
      </c>
      <c r="D18" s="7">
        <f>IF('Data Sheet'!D30&gt;0, 'Data Sheet'!D31/'Data Sheet'!D30, 0)</f>
        <v>9.7299686773769836E-2</v>
      </c>
      <c r="E18" s="7">
        <f>IF('Data Sheet'!E30&gt;0, 'Data Sheet'!E31/'Data Sheet'!E30, 0)</f>
        <v>0.10469964933678916</v>
      </c>
      <c r="F18" s="7">
        <f>IF('Data Sheet'!F30&gt;0, 'Data Sheet'!F31/'Data Sheet'!F30, 0)</f>
        <v>9.1831542094121477E-2</v>
      </c>
      <c r="G18" s="7">
        <f>IF('Data Sheet'!G30&gt;0, 'Data Sheet'!G31/'Data Sheet'!G30, 0)</f>
        <v>8.9152458611317029E-2</v>
      </c>
      <c r="H18" s="7">
        <f>IF('Data Sheet'!H30&gt;0, 'Data Sheet'!H31/'Data Sheet'!H30, 0)</f>
        <v>9.129261491409553E-2</v>
      </c>
      <c r="I18" s="7">
        <f>IF('Data Sheet'!I30&gt;0, 'Data Sheet'!I31/'Data Sheet'!I30, 0)</f>
        <v>9.718332112437339E-2</v>
      </c>
      <c r="J18" s="7">
        <f>IF('Data Sheet'!J30&gt;0, 'Data Sheet'!J31/'Data Sheet'!J30, 0)</f>
        <v>0.1068602113484953</v>
      </c>
      <c r="K18" s="7">
        <f>IF('Data Sheet'!K30&gt;0, 'Data Sheet'!K31/'Data Sheet'!K30, 0)</f>
        <v>0.10051624883936862</v>
      </c>
    </row>
    <row r="19" spans="1:14" x14ac:dyDescent="0.25">
      <c r="A19" s="6" t="s">
        <v>18</v>
      </c>
      <c r="B19" s="7">
        <f t="shared" ref="B19:L19" si="4">IF(B6&gt;0,B6/B4,0)</f>
        <v>0.15234871066016567</v>
      </c>
      <c r="C19" s="7">
        <f t="shared" ref="C19:K19" si="5">IF(C6&gt;0,C6/C4,0)</f>
        <v>0.16456298631349742</v>
      </c>
      <c r="D19" s="7">
        <f t="shared" si="5"/>
        <v>0.14823951282425743</v>
      </c>
      <c r="E19" s="7">
        <f t="shared" si="5"/>
        <v>0.1496047288408005</v>
      </c>
      <c r="F19" s="7">
        <f t="shared" si="5"/>
        <v>0.17325495864312568</v>
      </c>
      <c r="G19" s="7">
        <f t="shared" si="5"/>
        <v>0.15630519683361813</v>
      </c>
      <c r="H19" s="7">
        <f t="shared" si="5"/>
        <v>0.16239006111392568</v>
      </c>
      <c r="I19" s="7">
        <f t="shared" si="5"/>
        <v>0.18074592816122959</v>
      </c>
      <c r="J19" s="7">
        <f t="shared" si="5"/>
        <v>0.17199268814524002</v>
      </c>
      <c r="K19" s="7">
        <f t="shared" si="5"/>
        <v>0.16926388950633692</v>
      </c>
      <c r="L19" s="7" t="e">
        <f t="shared" si="4"/>
        <v>#REF!</v>
      </c>
    </row>
    <row r="20" spans="1:14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5">
      <c r="A22" s="15"/>
      <c r="B22" s="16"/>
      <c r="C22" s="16"/>
      <c r="D22" s="16"/>
      <c r="E22" s="16"/>
      <c r="F22" s="16"/>
      <c r="G22" s="16" t="s">
        <v>19</v>
      </c>
      <c r="H22" s="16" t="s">
        <v>56</v>
      </c>
      <c r="I22" s="16" t="s">
        <v>57</v>
      </c>
      <c r="J22" s="16" t="s">
        <v>58</v>
      </c>
      <c r="K22" s="16" t="s">
        <v>59</v>
      </c>
      <c r="L22" s="17" t="s">
        <v>60</v>
      </c>
      <c r="M22" s="17" t="s">
        <v>20</v>
      </c>
      <c r="N22" s="17" t="s">
        <v>21</v>
      </c>
    </row>
    <row r="23" spans="1:14" s="8" customFormat="1" x14ac:dyDescent="0.25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0.14855233349824148</v>
      </c>
      <c r="I23" s="7">
        <f>IF(D4=0,"",POWER($K4/D4,1/7)-1)</f>
        <v>9.2718844361958874E-2</v>
      </c>
      <c r="J23" s="7">
        <f>IF(F4=0,"",POWER($K4/F4,1/5)-1)</f>
        <v>0.1778733748515664</v>
      </c>
      <c r="K23" s="7">
        <f>IF(H4=0,"",POWER($K4/H4, 1/3)-1)</f>
        <v>6.452253035645561E-2</v>
      </c>
      <c r="L23" s="7" t="str">
        <f>IF(ISERROR(MAX(IF(J4=0,"",(K4-J4)/J4),IF(K4=0,"",(L4-K4)/K4))),"",MAX(IF(J4=0,"",(K4-J4)/J4),IF(K4=0,"",(L4-K4)/K4)))</f>
        <v/>
      </c>
      <c r="M23" s="22">
        <f>MAX(K23:L23)</f>
        <v>6.452253035645561E-2</v>
      </c>
      <c r="N23" s="22">
        <f>MIN(H23:L23)</f>
        <v>6.452253035645561E-2</v>
      </c>
    </row>
    <row r="24" spans="1:14" x14ac:dyDescent="0.25">
      <c r="G24" s="6" t="s">
        <v>18</v>
      </c>
      <c r="H24" s="7">
        <f>IF(SUM(B4:$K$4)=0,"",SUMPRODUCT(B19:$K$19,B4:$K$4)/SUM(B4:$K$4))</f>
        <v>0.16473459229555729</v>
      </c>
      <c r="I24" s="7">
        <f>IF(SUM(E4:$K$4)=0,"",SUMPRODUCT(E19:$K$19,E4:$K$4)/SUM(E4:$K$4))</f>
        <v>0.16711281105177525</v>
      </c>
      <c r="J24" s="7">
        <f>IF(SUM(G4:$K$4)=0,"",SUMPRODUCT(G19:$K$19,G4:$K$4)/SUM(G4:$K$4))</f>
        <v>0.16880152529459491</v>
      </c>
      <c r="K24" s="7">
        <f>IF(SUM(I4:$K$4)=0, "", SUMPRODUCT(I19:$K$19,I4:$K$4)/SUM(I4:$K$4))</f>
        <v>0.17370027542924482</v>
      </c>
      <c r="L24" s="7" t="e">
        <f>L19</f>
        <v>#REF!</v>
      </c>
      <c r="M24" s="22" t="e">
        <f>MAX(K24:L24)</f>
        <v>#REF!</v>
      </c>
      <c r="N24" s="22" t="e">
        <f>MIN(H24:L24)</f>
        <v>#REF!</v>
      </c>
    </row>
    <row r="25" spans="1:14" x14ac:dyDescent="0.25">
      <c r="G25" s="6" t="s">
        <v>23</v>
      </c>
      <c r="H25" s="9">
        <f>IF(ISERROR(AVERAGEIF(B14:$L14,"&gt;0")),"",AVERAGEIF(B14:$L14,"&gt;0"))</f>
        <v>21.60011766428773</v>
      </c>
      <c r="I25" s="9">
        <f>IF(ISERROR(AVERAGEIF(E14:$L14,"&gt;0")),"",AVERAGEIF(E14:$L14,"&gt;0"))</f>
        <v>23.699355972224406</v>
      </c>
      <c r="J25" s="9">
        <f>IF(ISERROR(AVERAGEIF(G14:$L14,"&gt;0")),"",AVERAGEIF(G14:$L14,"&gt;0"))</f>
        <v>24.958671115921476</v>
      </c>
      <c r="K25" s="9">
        <f>IF(ISERROR(AVERAGEIF(I14:$L14,"&gt;0")),"",AVERAGEIF(I14:$L14,"&gt;0"))</f>
        <v>25.38943283169975</v>
      </c>
      <c r="L25" s="9" t="e">
        <f>L14</f>
        <v>#REF!</v>
      </c>
      <c r="M25" s="1" t="e">
        <f>MAX(K25:L25)</f>
        <v>#REF!</v>
      </c>
      <c r="N25" s="1" t="e">
        <f>MIN(H25:L25)</f>
        <v>#REF!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20" activePane="bottomRight" state="frozen"/>
      <selection activeCell="C4" sqref="C4"/>
      <selection pane="topRight" activeCell="C4" sqref="C4"/>
      <selection pane="bottomLeft" activeCell="C4" sqref="C4"/>
      <selection pane="bottomRight" activeCell="D2" sqref="D2"/>
    </sheetView>
  </sheetViews>
  <sheetFormatPr defaultColWidth="8.85546875" defaultRowHeight="15" x14ac:dyDescent="0.25"/>
  <cols>
    <col min="1" max="1" width="27.7109375" style="5" bestFit="1" customWidth="1"/>
    <col min="2" max="11" width="13.42578125" style="5" bestFit="1" customWidth="1"/>
    <col min="12" max="16384" width="8.85546875" style="5"/>
  </cols>
  <sheetData>
    <row r="1" spans="1:11" s="1" customFormat="1" x14ac:dyDescent="0.25">
      <c r="A1" s="1" t="s">
        <v>0</v>
      </c>
      <c r="B1" s="1" t="s">
        <v>54</v>
      </c>
      <c r="D1" s="1" t="s">
        <v>182</v>
      </c>
      <c r="E1" s="116" t="str">
        <f>IF(B2&lt;&gt;B3, "A NEW VERSION OF THE WORKSHEET IS AVAILABLE", "")</f>
        <v/>
      </c>
      <c r="F1" s="116"/>
      <c r="G1" s="116"/>
      <c r="H1" s="116"/>
      <c r="I1" s="116"/>
      <c r="J1" s="116"/>
      <c r="K1" s="116"/>
    </row>
    <row r="2" spans="1:11" x14ac:dyDescent="0.25">
      <c r="A2" s="1" t="s">
        <v>52</v>
      </c>
      <c r="B2" s="5">
        <v>2.1</v>
      </c>
      <c r="E2" s="117" t="s">
        <v>36</v>
      </c>
      <c r="F2" s="117"/>
      <c r="G2" s="117"/>
      <c r="H2" s="117"/>
      <c r="I2" s="117"/>
      <c r="J2" s="117"/>
      <c r="K2" s="117"/>
    </row>
    <row r="3" spans="1:11" x14ac:dyDescent="0.25">
      <c r="A3" s="1" t="s">
        <v>53</v>
      </c>
      <c r="B3" s="5">
        <v>2.1</v>
      </c>
    </row>
    <row r="4" spans="1:11" x14ac:dyDescent="0.25">
      <c r="A4" s="1"/>
    </row>
    <row r="5" spans="1:11" x14ac:dyDescent="0.25">
      <c r="A5" s="1" t="s">
        <v>55</v>
      </c>
    </row>
    <row r="6" spans="1:11" x14ac:dyDescent="0.25">
      <c r="A6" s="5" t="s">
        <v>42</v>
      </c>
      <c r="B6" s="5">
        <f>IF(B9&gt;0, B9/B8, 0)</f>
        <v>1353.253491174594</v>
      </c>
    </row>
    <row r="7" spans="1:11" x14ac:dyDescent="0.25">
      <c r="A7" s="5" t="s">
        <v>31</v>
      </c>
      <c r="B7">
        <v>10</v>
      </c>
    </row>
    <row r="8" spans="1:11" x14ac:dyDescent="0.25">
      <c r="A8" s="5" t="s">
        <v>43</v>
      </c>
      <c r="B8">
        <v>1410.7</v>
      </c>
    </row>
    <row r="9" spans="1:11" x14ac:dyDescent="0.25">
      <c r="A9" s="5" t="s">
        <v>70</v>
      </c>
      <c r="B9">
        <v>1909034.7</v>
      </c>
    </row>
    <row r="15" spans="1:11" x14ac:dyDescent="0.25">
      <c r="A15" s="1" t="s">
        <v>37</v>
      </c>
    </row>
    <row r="16" spans="1:11" s="24" customFormat="1" x14ac:dyDescent="0.25">
      <c r="A16" s="23" t="s">
        <v>38</v>
      </c>
      <c r="B16" s="16">
        <v>42825</v>
      </c>
      <c r="C16" s="16">
        <v>43190</v>
      </c>
      <c r="D16" s="16">
        <v>43555</v>
      </c>
      <c r="E16" s="16">
        <v>43921</v>
      </c>
      <c r="F16" s="16">
        <v>44286</v>
      </c>
      <c r="G16" s="16">
        <v>44651</v>
      </c>
      <c r="H16" s="16">
        <v>45016</v>
      </c>
      <c r="I16" s="16">
        <v>45382</v>
      </c>
      <c r="J16" s="16">
        <v>45747</v>
      </c>
      <c r="K16" s="16">
        <v>46112</v>
      </c>
    </row>
    <row r="17" spans="1:11" s="9" customFormat="1" x14ac:dyDescent="0.25">
      <c r="A17" s="9" t="s">
        <v>6</v>
      </c>
      <c r="B17">
        <v>303954</v>
      </c>
      <c r="C17">
        <v>390823</v>
      </c>
      <c r="D17">
        <v>568337</v>
      </c>
      <c r="E17">
        <v>596679</v>
      </c>
      <c r="F17">
        <v>466307</v>
      </c>
      <c r="G17">
        <v>694673</v>
      </c>
      <c r="H17">
        <v>876396</v>
      </c>
      <c r="I17">
        <v>899041</v>
      </c>
      <c r="J17">
        <v>962820</v>
      </c>
      <c r="K17">
        <v>1057219</v>
      </c>
    </row>
    <row r="18" spans="1:11" s="9" customFormat="1" x14ac:dyDescent="0.25">
      <c r="A18" s="5" t="s">
        <v>71</v>
      </c>
      <c r="B18">
        <v>217518</v>
      </c>
      <c r="C18">
        <v>276076</v>
      </c>
      <c r="D18">
        <v>399167</v>
      </c>
      <c r="E18">
        <v>410288</v>
      </c>
      <c r="F18">
        <v>301765</v>
      </c>
      <c r="G18">
        <v>494449</v>
      </c>
      <c r="H18">
        <v>618746</v>
      </c>
      <c r="I18">
        <v>590226</v>
      </c>
      <c r="J18">
        <v>644813</v>
      </c>
      <c r="K18">
        <v>698930</v>
      </c>
    </row>
    <row r="19" spans="1:11" s="9" customFormat="1" x14ac:dyDescent="0.25">
      <c r="A19" s="5" t="s">
        <v>72</v>
      </c>
      <c r="B19">
        <v>5218</v>
      </c>
      <c r="C19">
        <v>8610</v>
      </c>
      <c r="D19">
        <v>4680</v>
      </c>
      <c r="E19">
        <v>5048</v>
      </c>
      <c r="F19">
        <v>9064</v>
      </c>
      <c r="G19">
        <v>21457</v>
      </c>
      <c r="H19">
        <v>30263</v>
      </c>
      <c r="I19">
        <v>4883</v>
      </c>
      <c r="J19">
        <v>15124</v>
      </c>
      <c r="K19">
        <v>10267</v>
      </c>
    </row>
    <row r="20" spans="1:11" s="9" customFormat="1" x14ac:dyDescent="0.25">
      <c r="A20" s="5" t="s">
        <v>73</v>
      </c>
      <c r="B20">
        <v>11251</v>
      </c>
      <c r="C20">
        <v>14569</v>
      </c>
      <c r="D20">
        <v>17029</v>
      </c>
      <c r="E20">
        <v>15098</v>
      </c>
      <c r="F20">
        <v>13214</v>
      </c>
      <c r="G20">
        <v>17902</v>
      </c>
      <c r="H20">
        <v>25062</v>
      </c>
      <c r="I20">
        <v>22137</v>
      </c>
      <c r="J20">
        <v>23823</v>
      </c>
    </row>
    <row r="21" spans="1:11" s="9" customFormat="1" x14ac:dyDescent="0.25">
      <c r="A21" s="5" t="s">
        <v>74</v>
      </c>
      <c r="B21">
        <v>9909</v>
      </c>
      <c r="C21">
        <v>9691</v>
      </c>
      <c r="D21">
        <v>12198</v>
      </c>
      <c r="E21">
        <v>11434</v>
      </c>
      <c r="F21">
        <v>7687</v>
      </c>
      <c r="G21">
        <v>12174</v>
      </c>
      <c r="H21">
        <v>19658</v>
      </c>
      <c r="I21">
        <v>18276</v>
      </c>
      <c r="J21">
        <v>18358</v>
      </c>
    </row>
    <row r="22" spans="1:11" s="9" customFormat="1" x14ac:dyDescent="0.25">
      <c r="A22" s="5" t="s">
        <v>75</v>
      </c>
      <c r="B22">
        <v>8388</v>
      </c>
      <c r="C22">
        <v>9523</v>
      </c>
      <c r="D22">
        <v>12488</v>
      </c>
      <c r="E22">
        <v>14075</v>
      </c>
      <c r="F22">
        <v>14817</v>
      </c>
      <c r="G22">
        <v>18758</v>
      </c>
      <c r="H22">
        <v>24872</v>
      </c>
      <c r="I22">
        <v>25679</v>
      </c>
      <c r="J22">
        <v>28559</v>
      </c>
      <c r="K22">
        <v>30318</v>
      </c>
    </row>
    <row r="23" spans="1:11" s="9" customFormat="1" x14ac:dyDescent="0.25">
      <c r="A23" s="5" t="s">
        <v>76</v>
      </c>
      <c r="B23">
        <v>18520</v>
      </c>
      <c r="C23">
        <v>29111</v>
      </c>
      <c r="D23">
        <v>50221</v>
      </c>
      <c r="E23">
        <v>62622</v>
      </c>
      <c r="F23">
        <v>56154</v>
      </c>
      <c r="G23">
        <v>63513</v>
      </c>
      <c r="H23">
        <v>67369</v>
      </c>
      <c r="I23">
        <v>77292</v>
      </c>
      <c r="J23">
        <v>88760</v>
      </c>
    </row>
    <row r="24" spans="1:11" s="9" customFormat="1" x14ac:dyDescent="0.25">
      <c r="A24" s="5" t="s">
        <v>77</v>
      </c>
      <c r="B24">
        <v>-2721</v>
      </c>
      <c r="C24">
        <v>-3852</v>
      </c>
      <c r="D24">
        <v>-2336</v>
      </c>
      <c r="E24">
        <v>-1056</v>
      </c>
      <c r="F24">
        <v>944</v>
      </c>
      <c r="G24">
        <v>753</v>
      </c>
      <c r="H24">
        <v>8634</v>
      </c>
      <c r="I24">
        <v>7816</v>
      </c>
      <c r="J24">
        <v>8033</v>
      </c>
      <c r="K24">
        <v>159289</v>
      </c>
    </row>
    <row r="25" spans="1:11" s="9" customFormat="1" x14ac:dyDescent="0.25">
      <c r="A25" s="9" t="s">
        <v>9</v>
      </c>
      <c r="B25">
        <v>9222</v>
      </c>
      <c r="C25">
        <v>9869</v>
      </c>
      <c r="D25">
        <v>8406</v>
      </c>
      <c r="E25">
        <v>8570</v>
      </c>
      <c r="F25">
        <v>22432</v>
      </c>
      <c r="G25">
        <v>19600</v>
      </c>
      <c r="H25">
        <v>12020</v>
      </c>
      <c r="I25">
        <v>15792</v>
      </c>
      <c r="J25">
        <v>17824</v>
      </c>
      <c r="K25">
        <v>28962</v>
      </c>
    </row>
    <row r="26" spans="1:11" s="9" customFormat="1" x14ac:dyDescent="0.25">
      <c r="A26" s="9" t="s">
        <v>10</v>
      </c>
      <c r="B26">
        <v>11646</v>
      </c>
      <c r="C26">
        <v>16706</v>
      </c>
      <c r="D26">
        <v>20934</v>
      </c>
      <c r="E26">
        <v>22203</v>
      </c>
      <c r="F26">
        <v>26572</v>
      </c>
      <c r="G26">
        <v>29782</v>
      </c>
      <c r="H26">
        <v>40303</v>
      </c>
      <c r="I26">
        <v>50832</v>
      </c>
      <c r="J26">
        <v>53136</v>
      </c>
      <c r="K26">
        <v>57688</v>
      </c>
    </row>
    <row r="27" spans="1:11" s="9" customFormat="1" x14ac:dyDescent="0.25">
      <c r="A27" s="9" t="s">
        <v>11</v>
      </c>
      <c r="B27">
        <v>3849</v>
      </c>
      <c r="C27">
        <v>8052</v>
      </c>
      <c r="D27">
        <v>16495</v>
      </c>
      <c r="E27">
        <v>22027</v>
      </c>
      <c r="F27">
        <v>21189</v>
      </c>
      <c r="G27">
        <v>14584</v>
      </c>
      <c r="H27">
        <v>19571</v>
      </c>
      <c r="I27">
        <v>23118</v>
      </c>
      <c r="J27">
        <v>24269</v>
      </c>
      <c r="K27">
        <v>27061</v>
      </c>
    </row>
    <row r="28" spans="1:11" s="9" customFormat="1" x14ac:dyDescent="0.25">
      <c r="A28" s="9" t="s">
        <v>12</v>
      </c>
      <c r="B28">
        <v>40034</v>
      </c>
      <c r="C28">
        <v>49426</v>
      </c>
      <c r="D28">
        <v>55227</v>
      </c>
      <c r="E28">
        <v>53606</v>
      </c>
      <c r="F28">
        <v>55461</v>
      </c>
      <c r="G28">
        <v>83815</v>
      </c>
      <c r="H28">
        <v>94464</v>
      </c>
      <c r="I28">
        <v>104340</v>
      </c>
      <c r="J28">
        <v>106017</v>
      </c>
      <c r="K28">
        <v>123162</v>
      </c>
    </row>
    <row r="29" spans="1:11" s="9" customFormat="1" x14ac:dyDescent="0.25">
      <c r="A29" s="9" t="s">
        <v>13</v>
      </c>
      <c r="B29">
        <v>10201</v>
      </c>
      <c r="C29">
        <v>13346</v>
      </c>
      <c r="D29">
        <v>15390</v>
      </c>
      <c r="E29">
        <v>13726</v>
      </c>
      <c r="F29">
        <v>1722</v>
      </c>
      <c r="G29">
        <v>15970</v>
      </c>
      <c r="H29">
        <v>20376</v>
      </c>
      <c r="I29">
        <v>25707</v>
      </c>
      <c r="J29">
        <v>25230</v>
      </c>
      <c r="K29">
        <v>27552</v>
      </c>
    </row>
    <row r="30" spans="1:11" s="9" customFormat="1" x14ac:dyDescent="0.25">
      <c r="A30" s="9" t="s">
        <v>14</v>
      </c>
      <c r="B30">
        <v>29901</v>
      </c>
      <c r="C30">
        <v>36075</v>
      </c>
      <c r="D30">
        <v>39588</v>
      </c>
      <c r="E30">
        <v>39354</v>
      </c>
      <c r="F30">
        <v>49128</v>
      </c>
      <c r="G30">
        <v>60705</v>
      </c>
      <c r="H30">
        <v>66702</v>
      </c>
      <c r="I30">
        <v>69621</v>
      </c>
      <c r="J30">
        <v>69648</v>
      </c>
      <c r="K30">
        <v>80775</v>
      </c>
    </row>
    <row r="31" spans="1:11" s="9" customFormat="1" x14ac:dyDescent="0.25">
      <c r="A31" s="9" t="s">
        <v>61</v>
      </c>
      <c r="B31">
        <v>3254.9</v>
      </c>
      <c r="C31">
        <v>3553.2</v>
      </c>
      <c r="D31">
        <v>3851.9</v>
      </c>
      <c r="E31">
        <v>4120.3500000000004</v>
      </c>
      <c r="F31">
        <v>4511.5</v>
      </c>
      <c r="G31">
        <v>5412</v>
      </c>
      <c r="H31">
        <v>6089.4</v>
      </c>
      <c r="I31">
        <v>6766</v>
      </c>
      <c r="J31">
        <v>7442.6</v>
      </c>
      <c r="K31">
        <v>8119.2</v>
      </c>
    </row>
    <row r="32" spans="1:11" s="9" customFormat="1" x14ac:dyDescent="0.25"/>
    <row r="33" spans="1:11" x14ac:dyDescent="0.25">
      <c r="A33" s="9"/>
    </row>
    <row r="34" spans="1:11" x14ac:dyDescent="0.25">
      <c r="A34" s="9"/>
    </row>
    <row r="35" spans="1:11" x14ac:dyDescent="0.25">
      <c r="A35" s="9"/>
    </row>
    <row r="36" spans="1:11" x14ac:dyDescent="0.25">
      <c r="A36" s="9"/>
    </row>
    <row r="37" spans="1:11" x14ac:dyDescent="0.25">
      <c r="A37" s="9"/>
    </row>
    <row r="38" spans="1:11" x14ac:dyDescent="0.25">
      <c r="A38" s="9"/>
    </row>
    <row r="39" spans="1:11" x14ac:dyDescent="0.25">
      <c r="A39" s="9"/>
    </row>
    <row r="40" spans="1:11" x14ac:dyDescent="0.25">
      <c r="A40" s="1" t="s">
        <v>39</v>
      </c>
    </row>
    <row r="41" spans="1:11" s="24" customFormat="1" x14ac:dyDescent="0.25">
      <c r="A41" s="23" t="s">
        <v>38</v>
      </c>
      <c r="B41" s="16">
        <v>45291</v>
      </c>
      <c r="C41" s="16">
        <v>45382</v>
      </c>
      <c r="D41" s="16">
        <v>45473</v>
      </c>
      <c r="E41" s="16">
        <v>45565</v>
      </c>
      <c r="F41" s="16">
        <v>45657</v>
      </c>
      <c r="G41" s="16">
        <v>45747</v>
      </c>
      <c r="H41" s="16">
        <v>45838</v>
      </c>
      <c r="I41" s="16">
        <v>45930</v>
      </c>
      <c r="J41" s="16">
        <v>46022</v>
      </c>
      <c r="K41" s="16">
        <v>46112</v>
      </c>
    </row>
    <row r="42" spans="1:11" s="9" customFormat="1" x14ac:dyDescent="0.25">
      <c r="A42" s="9" t="s">
        <v>6</v>
      </c>
      <c r="B42">
        <v>225086</v>
      </c>
      <c r="C42">
        <v>236533</v>
      </c>
      <c r="D42">
        <v>231784</v>
      </c>
      <c r="E42">
        <v>231535</v>
      </c>
      <c r="F42">
        <v>239986</v>
      </c>
      <c r="G42">
        <v>261388</v>
      </c>
      <c r="H42">
        <v>243632</v>
      </c>
      <c r="I42">
        <v>254623</v>
      </c>
      <c r="J42">
        <v>264905</v>
      </c>
      <c r="K42">
        <v>294059</v>
      </c>
    </row>
    <row r="43" spans="1:11" s="9" customFormat="1" x14ac:dyDescent="0.25">
      <c r="A43" s="9" t="s">
        <v>7</v>
      </c>
      <c r="B43">
        <v>184430</v>
      </c>
      <c r="C43">
        <v>194017</v>
      </c>
      <c r="D43">
        <v>193019</v>
      </c>
      <c r="E43">
        <v>192477</v>
      </c>
      <c r="F43">
        <v>196197</v>
      </c>
      <c r="G43">
        <v>217556</v>
      </c>
      <c r="H43">
        <v>200727</v>
      </c>
      <c r="I43">
        <v>208738</v>
      </c>
      <c r="J43">
        <v>218887</v>
      </c>
      <c r="K43">
        <v>249918</v>
      </c>
    </row>
    <row r="44" spans="1:11" s="9" customFormat="1" x14ac:dyDescent="0.25">
      <c r="A44" s="9" t="s">
        <v>9</v>
      </c>
      <c r="B44">
        <v>3869</v>
      </c>
      <c r="C44">
        <v>4534</v>
      </c>
      <c r="D44">
        <v>3983</v>
      </c>
      <c r="E44">
        <v>4876</v>
      </c>
      <c r="F44">
        <v>4214</v>
      </c>
      <c r="G44">
        <v>4905</v>
      </c>
      <c r="H44">
        <v>15119</v>
      </c>
      <c r="I44">
        <v>4482</v>
      </c>
      <c r="J44">
        <v>4914</v>
      </c>
      <c r="K44">
        <v>4447</v>
      </c>
    </row>
    <row r="45" spans="1:11" s="9" customFormat="1" x14ac:dyDescent="0.25">
      <c r="A45" s="9" t="s">
        <v>10</v>
      </c>
      <c r="B45">
        <v>12903</v>
      </c>
      <c r="C45">
        <v>13569</v>
      </c>
      <c r="D45">
        <v>13596</v>
      </c>
      <c r="E45">
        <v>12880</v>
      </c>
      <c r="F45">
        <v>13181</v>
      </c>
      <c r="G45">
        <v>13479</v>
      </c>
      <c r="H45">
        <v>13842</v>
      </c>
      <c r="I45">
        <v>14416</v>
      </c>
      <c r="J45">
        <v>14622</v>
      </c>
      <c r="K45">
        <v>14808</v>
      </c>
    </row>
    <row r="46" spans="1:11" s="9" customFormat="1" x14ac:dyDescent="0.25">
      <c r="A46" s="9" t="s">
        <v>11</v>
      </c>
      <c r="B46">
        <v>5789</v>
      </c>
      <c r="C46">
        <v>5761</v>
      </c>
      <c r="D46">
        <v>5918</v>
      </c>
      <c r="E46">
        <v>6017</v>
      </c>
      <c r="F46">
        <v>6179</v>
      </c>
      <c r="G46">
        <v>6155</v>
      </c>
      <c r="H46">
        <v>7036</v>
      </c>
      <c r="I46">
        <v>6827</v>
      </c>
      <c r="J46">
        <v>6613</v>
      </c>
      <c r="K46">
        <v>6585</v>
      </c>
    </row>
    <row r="47" spans="1:11" s="9" customFormat="1" x14ac:dyDescent="0.25">
      <c r="A47" s="9" t="s">
        <v>12</v>
      </c>
      <c r="B47">
        <v>25833</v>
      </c>
      <c r="C47">
        <v>27720</v>
      </c>
      <c r="D47">
        <v>23234</v>
      </c>
      <c r="E47">
        <v>25037</v>
      </c>
      <c r="F47">
        <v>28643</v>
      </c>
      <c r="G47">
        <v>29103</v>
      </c>
      <c r="H47">
        <v>37146</v>
      </c>
      <c r="I47">
        <v>29124</v>
      </c>
      <c r="J47">
        <v>29697</v>
      </c>
      <c r="K47">
        <v>27195</v>
      </c>
    </row>
    <row r="48" spans="1:11" s="9" customFormat="1" x14ac:dyDescent="0.25">
      <c r="A48" s="9" t="s">
        <v>13</v>
      </c>
      <c r="B48">
        <v>6345</v>
      </c>
      <c r="C48">
        <v>6577</v>
      </c>
      <c r="D48">
        <v>5786</v>
      </c>
      <c r="E48">
        <v>5936</v>
      </c>
      <c r="F48">
        <v>6839</v>
      </c>
      <c r="G48">
        <v>6669</v>
      </c>
      <c r="H48">
        <v>6465</v>
      </c>
      <c r="I48">
        <v>6978</v>
      </c>
      <c r="J48">
        <v>7530</v>
      </c>
      <c r="K48">
        <v>6579</v>
      </c>
    </row>
    <row r="49" spans="1:11" s="9" customFormat="1" x14ac:dyDescent="0.25">
      <c r="A49" s="9" t="s">
        <v>14</v>
      </c>
      <c r="B49">
        <v>17265</v>
      </c>
      <c r="C49">
        <v>18951</v>
      </c>
      <c r="D49">
        <v>15138</v>
      </c>
      <c r="E49">
        <v>16563</v>
      </c>
      <c r="F49">
        <v>18540</v>
      </c>
      <c r="G49">
        <v>19407</v>
      </c>
      <c r="H49">
        <v>26994</v>
      </c>
      <c r="I49">
        <v>18165</v>
      </c>
      <c r="J49">
        <v>18645</v>
      </c>
      <c r="K49">
        <v>16971</v>
      </c>
    </row>
    <row r="50" spans="1:11" x14ac:dyDescent="0.25">
      <c r="A50" s="9" t="s">
        <v>8</v>
      </c>
      <c r="B50">
        <v>40656</v>
      </c>
      <c r="C50">
        <v>42516</v>
      </c>
      <c r="D50">
        <v>38765</v>
      </c>
      <c r="E50">
        <v>39058</v>
      </c>
      <c r="F50">
        <v>43789</v>
      </c>
      <c r="G50">
        <v>43832</v>
      </c>
      <c r="H50">
        <v>42905</v>
      </c>
      <c r="I50">
        <v>45885</v>
      </c>
      <c r="J50">
        <v>46018</v>
      </c>
      <c r="K50">
        <v>44141</v>
      </c>
    </row>
    <row r="51" spans="1:11" x14ac:dyDescent="0.25">
      <c r="A51" s="9"/>
    </row>
    <row r="52" spans="1:11" x14ac:dyDescent="0.25">
      <c r="A52" s="9"/>
    </row>
    <row r="53" spans="1:11" x14ac:dyDescent="0.25">
      <c r="A53" s="9"/>
    </row>
    <row r="54" spans="1:11" x14ac:dyDescent="0.25">
      <c r="A54" s="9"/>
    </row>
    <row r="55" spans="1:11" x14ac:dyDescent="0.25">
      <c r="A55" s="1" t="s">
        <v>40</v>
      </c>
    </row>
    <row r="56" spans="1:11" s="24" customFormat="1" x14ac:dyDescent="0.25">
      <c r="A56" s="23" t="s">
        <v>38</v>
      </c>
      <c r="B56" s="16">
        <v>42825</v>
      </c>
      <c r="C56" s="16">
        <v>43190</v>
      </c>
      <c r="D56" s="16">
        <v>43555</v>
      </c>
      <c r="E56" s="16">
        <v>43921</v>
      </c>
      <c r="F56" s="16">
        <v>44286</v>
      </c>
      <c r="G56" s="16">
        <v>44651</v>
      </c>
      <c r="H56" s="16">
        <v>45016</v>
      </c>
      <c r="I56" s="16">
        <v>45382</v>
      </c>
      <c r="J56" s="16">
        <v>45747</v>
      </c>
      <c r="K56" s="16">
        <v>46112</v>
      </c>
    </row>
    <row r="57" spans="1:11" x14ac:dyDescent="0.25">
      <c r="A57" s="9" t="s">
        <v>24</v>
      </c>
      <c r="B57">
        <v>2959</v>
      </c>
      <c r="C57">
        <v>5922</v>
      </c>
      <c r="D57">
        <v>5926</v>
      </c>
      <c r="E57">
        <v>6339</v>
      </c>
      <c r="F57">
        <v>6445</v>
      </c>
      <c r="G57">
        <v>6765</v>
      </c>
      <c r="H57">
        <v>6766</v>
      </c>
      <c r="I57">
        <v>6766</v>
      </c>
      <c r="J57">
        <v>13532</v>
      </c>
      <c r="K57">
        <v>13532</v>
      </c>
    </row>
    <row r="58" spans="1:11" x14ac:dyDescent="0.25">
      <c r="A58" s="9" t="s">
        <v>25</v>
      </c>
      <c r="B58">
        <v>260750</v>
      </c>
      <c r="C58">
        <v>287584</v>
      </c>
      <c r="D58">
        <v>381186</v>
      </c>
      <c r="E58">
        <v>442827</v>
      </c>
      <c r="F58">
        <v>693727</v>
      </c>
      <c r="G58">
        <v>772720</v>
      </c>
      <c r="H58">
        <v>709106</v>
      </c>
      <c r="I58">
        <v>786715</v>
      </c>
      <c r="J58">
        <v>829668</v>
      </c>
      <c r="K58">
        <v>890498</v>
      </c>
    </row>
    <row r="59" spans="1:11" x14ac:dyDescent="0.25">
      <c r="A59" s="9" t="s">
        <v>62</v>
      </c>
      <c r="B59">
        <v>217475</v>
      </c>
      <c r="C59">
        <v>239843</v>
      </c>
      <c r="D59">
        <v>307714</v>
      </c>
      <c r="E59">
        <v>355133</v>
      </c>
      <c r="F59">
        <v>278962</v>
      </c>
      <c r="G59">
        <v>319158</v>
      </c>
      <c r="H59">
        <v>451664</v>
      </c>
      <c r="I59">
        <v>350719</v>
      </c>
      <c r="J59">
        <v>374313</v>
      </c>
      <c r="K59">
        <v>398000</v>
      </c>
    </row>
    <row r="60" spans="1:11" x14ac:dyDescent="0.25">
      <c r="A60" s="9" t="s">
        <v>63</v>
      </c>
      <c r="B60">
        <v>225618</v>
      </c>
      <c r="C60">
        <v>277924</v>
      </c>
      <c r="D60">
        <v>302804</v>
      </c>
      <c r="E60">
        <v>358716</v>
      </c>
      <c r="F60">
        <v>340931</v>
      </c>
      <c r="G60">
        <v>399979</v>
      </c>
      <c r="H60">
        <v>438346</v>
      </c>
      <c r="I60">
        <v>610848</v>
      </c>
      <c r="J60">
        <v>732200</v>
      </c>
      <c r="K60">
        <v>876110</v>
      </c>
    </row>
    <row r="61" spans="1:11" s="1" customFormat="1" x14ac:dyDescent="0.25">
      <c r="A61" s="1" t="s">
        <v>26</v>
      </c>
      <c r="B61">
        <v>706802</v>
      </c>
      <c r="C61">
        <v>811273</v>
      </c>
      <c r="D61">
        <v>997630</v>
      </c>
      <c r="E61">
        <v>1163015</v>
      </c>
      <c r="F61">
        <v>1320065</v>
      </c>
      <c r="G61">
        <v>1498622</v>
      </c>
      <c r="H61">
        <v>1605882</v>
      </c>
      <c r="I61">
        <v>1755048</v>
      </c>
      <c r="J61">
        <v>1949713</v>
      </c>
      <c r="K61">
        <v>2178140</v>
      </c>
    </row>
    <row r="62" spans="1:11" x14ac:dyDescent="0.25">
      <c r="A62" s="9" t="s">
        <v>27</v>
      </c>
      <c r="B62">
        <v>198526</v>
      </c>
      <c r="C62">
        <v>403885</v>
      </c>
      <c r="D62">
        <v>398374</v>
      </c>
      <c r="E62">
        <v>532658</v>
      </c>
      <c r="F62">
        <v>541258</v>
      </c>
      <c r="G62">
        <v>627798</v>
      </c>
      <c r="H62">
        <v>724805</v>
      </c>
      <c r="I62">
        <v>779985</v>
      </c>
      <c r="J62">
        <v>999393</v>
      </c>
      <c r="K62">
        <v>1170194</v>
      </c>
    </row>
    <row r="63" spans="1:11" x14ac:dyDescent="0.25">
      <c r="A63" s="9" t="s">
        <v>28</v>
      </c>
      <c r="B63">
        <v>324837</v>
      </c>
      <c r="C63">
        <v>187022</v>
      </c>
      <c r="D63">
        <v>179463</v>
      </c>
      <c r="E63">
        <v>109106</v>
      </c>
      <c r="F63">
        <v>125953</v>
      </c>
      <c r="G63">
        <v>172506</v>
      </c>
      <c r="H63">
        <v>293752</v>
      </c>
      <c r="I63">
        <v>338855</v>
      </c>
      <c r="J63">
        <v>262358</v>
      </c>
      <c r="K63">
        <v>192287</v>
      </c>
    </row>
    <row r="64" spans="1:11" x14ac:dyDescent="0.25">
      <c r="A64" s="9" t="s">
        <v>29</v>
      </c>
      <c r="B64">
        <v>82899</v>
      </c>
      <c r="C64">
        <v>82862</v>
      </c>
      <c r="D64">
        <v>235635</v>
      </c>
      <c r="E64">
        <v>276767</v>
      </c>
      <c r="F64">
        <v>364828</v>
      </c>
      <c r="G64">
        <v>394264</v>
      </c>
      <c r="H64">
        <v>235560</v>
      </c>
      <c r="I64">
        <v>225672</v>
      </c>
      <c r="J64">
        <v>242381</v>
      </c>
      <c r="K64">
        <v>248332</v>
      </c>
    </row>
    <row r="65" spans="1:11" x14ac:dyDescent="0.25">
      <c r="A65" s="9" t="s">
        <v>64</v>
      </c>
      <c r="B65">
        <v>100540</v>
      </c>
      <c r="C65">
        <v>137504</v>
      </c>
      <c r="D65">
        <v>184158</v>
      </c>
      <c r="E65">
        <v>244484</v>
      </c>
      <c r="F65">
        <v>288026</v>
      </c>
      <c r="G65">
        <v>304054</v>
      </c>
      <c r="H65">
        <v>351765</v>
      </c>
      <c r="I65">
        <v>410536</v>
      </c>
      <c r="J65">
        <v>445581</v>
      </c>
      <c r="K65">
        <v>567327</v>
      </c>
    </row>
    <row r="66" spans="1:11" s="1" customFormat="1" x14ac:dyDescent="0.25">
      <c r="A66" s="1" t="s">
        <v>26</v>
      </c>
      <c r="B66">
        <v>706802</v>
      </c>
      <c r="C66">
        <v>811273</v>
      </c>
      <c r="D66">
        <v>997630</v>
      </c>
      <c r="E66">
        <v>1163015</v>
      </c>
      <c r="F66">
        <v>1320065</v>
      </c>
      <c r="G66">
        <v>1498622</v>
      </c>
      <c r="H66">
        <v>1605882</v>
      </c>
      <c r="I66">
        <v>1755048</v>
      </c>
      <c r="J66">
        <v>1949713</v>
      </c>
      <c r="K66">
        <v>2178140</v>
      </c>
    </row>
    <row r="67" spans="1:11" s="9" customFormat="1" x14ac:dyDescent="0.25">
      <c r="A67" s="9" t="s">
        <v>69</v>
      </c>
      <c r="B67">
        <v>8177</v>
      </c>
      <c r="C67">
        <v>17555</v>
      </c>
      <c r="D67">
        <v>30089</v>
      </c>
      <c r="E67">
        <v>19656</v>
      </c>
      <c r="F67">
        <v>19014</v>
      </c>
      <c r="G67">
        <v>23640</v>
      </c>
      <c r="H67">
        <v>28448</v>
      </c>
      <c r="I67">
        <v>31628</v>
      </c>
      <c r="J67">
        <v>42121</v>
      </c>
      <c r="K67">
        <v>58491</v>
      </c>
    </row>
    <row r="68" spans="1:11" x14ac:dyDescent="0.25">
      <c r="A68" s="9" t="s">
        <v>45</v>
      </c>
      <c r="B68">
        <v>48951</v>
      </c>
      <c r="C68">
        <v>60837</v>
      </c>
      <c r="D68">
        <v>67561</v>
      </c>
      <c r="E68">
        <v>73903</v>
      </c>
      <c r="F68">
        <v>81672</v>
      </c>
      <c r="G68">
        <v>107778</v>
      </c>
      <c r="H68">
        <v>140008</v>
      </c>
      <c r="I68">
        <v>152770</v>
      </c>
      <c r="J68">
        <v>146062</v>
      </c>
      <c r="K68">
        <v>166941</v>
      </c>
    </row>
    <row r="69" spans="1:11" x14ac:dyDescent="0.25">
      <c r="A69" s="5" t="s">
        <v>78</v>
      </c>
      <c r="B69">
        <v>3023</v>
      </c>
      <c r="C69">
        <v>4255</v>
      </c>
      <c r="D69">
        <v>11081</v>
      </c>
      <c r="E69">
        <v>30920</v>
      </c>
      <c r="F69">
        <v>17397</v>
      </c>
      <c r="G69">
        <v>36178</v>
      </c>
      <c r="H69">
        <v>68664</v>
      </c>
      <c r="I69">
        <v>97225</v>
      </c>
      <c r="J69">
        <v>106502</v>
      </c>
      <c r="K69">
        <v>145977</v>
      </c>
    </row>
    <row r="70" spans="1:11" x14ac:dyDescent="0.25">
      <c r="A70" s="5" t="s">
        <v>65</v>
      </c>
      <c r="B70">
        <v>2958924277</v>
      </c>
      <c r="C70">
        <v>5921826196</v>
      </c>
      <c r="D70">
        <v>5925868997</v>
      </c>
      <c r="E70">
        <v>6338693823</v>
      </c>
      <c r="F70">
        <v>6762068814</v>
      </c>
      <c r="G70">
        <v>6765994014</v>
      </c>
      <c r="H70">
        <v>6766094014</v>
      </c>
      <c r="I70">
        <v>6766094014</v>
      </c>
      <c r="J70">
        <v>13532515463</v>
      </c>
    </row>
    <row r="71" spans="1:11" x14ac:dyDescent="0.25">
      <c r="A71" s="5" t="s">
        <v>66</v>
      </c>
      <c r="C71">
        <v>2959863235</v>
      </c>
      <c r="D71">
        <v>2959863235</v>
      </c>
      <c r="J71">
        <v>6766186449</v>
      </c>
    </row>
    <row r="72" spans="1:11" x14ac:dyDescent="0.25">
      <c r="A72" s="5" t="s">
        <v>79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25">
      <c r="A74" s="9"/>
    </row>
    <row r="75" spans="1:11" x14ac:dyDescent="0.25">
      <c r="A75" s="9"/>
    </row>
    <row r="76" spans="1:11" x14ac:dyDescent="0.25">
      <c r="A76" s="9"/>
    </row>
    <row r="77" spans="1:11" x14ac:dyDescent="0.25">
      <c r="A77" s="9"/>
    </row>
    <row r="78" spans="1:11" x14ac:dyDescent="0.25">
      <c r="A78" s="9"/>
    </row>
    <row r="79" spans="1:11" x14ac:dyDescent="0.25">
      <c r="A79" s="9"/>
    </row>
    <row r="80" spans="1:11" x14ac:dyDescent="0.25">
      <c r="A80" s="1" t="s">
        <v>41</v>
      </c>
    </row>
    <row r="81" spans="1:11" s="24" customFormat="1" x14ac:dyDescent="0.25">
      <c r="A81" s="23" t="s">
        <v>38</v>
      </c>
      <c r="B81" s="16">
        <v>42825</v>
      </c>
      <c r="C81" s="16">
        <v>43190</v>
      </c>
      <c r="D81" s="16">
        <v>43555</v>
      </c>
      <c r="E81" s="16">
        <v>43921</v>
      </c>
      <c r="F81" s="16">
        <v>44286</v>
      </c>
      <c r="G81" s="16">
        <v>44651</v>
      </c>
      <c r="H81" s="16">
        <v>45016</v>
      </c>
      <c r="I81" s="16">
        <v>45382</v>
      </c>
      <c r="J81" s="16">
        <v>45747</v>
      </c>
      <c r="K81" s="16">
        <v>46112</v>
      </c>
    </row>
    <row r="82" spans="1:11" s="1" customFormat="1" x14ac:dyDescent="0.25">
      <c r="A82" s="9" t="s">
        <v>32</v>
      </c>
      <c r="B82">
        <v>49550</v>
      </c>
      <c r="C82">
        <v>71459</v>
      </c>
      <c r="D82">
        <v>42346</v>
      </c>
      <c r="E82">
        <v>94877</v>
      </c>
      <c r="F82">
        <v>26958</v>
      </c>
      <c r="G82">
        <v>110654</v>
      </c>
      <c r="H82">
        <v>115032</v>
      </c>
      <c r="I82">
        <v>158788</v>
      </c>
      <c r="J82">
        <v>178703</v>
      </c>
      <c r="K82">
        <v>192113</v>
      </c>
    </row>
    <row r="83" spans="1:11" s="9" customFormat="1" x14ac:dyDescent="0.25">
      <c r="A83" s="9" t="s">
        <v>33</v>
      </c>
      <c r="B83">
        <v>-66201</v>
      </c>
      <c r="C83">
        <v>-68192</v>
      </c>
      <c r="D83">
        <v>-94507</v>
      </c>
      <c r="E83">
        <v>-72497</v>
      </c>
      <c r="F83">
        <v>-142385</v>
      </c>
      <c r="G83">
        <v>-109162</v>
      </c>
      <c r="H83">
        <v>-93001</v>
      </c>
      <c r="I83">
        <v>-113581</v>
      </c>
      <c r="J83">
        <v>-137535</v>
      </c>
      <c r="K83">
        <v>-101089</v>
      </c>
    </row>
    <row r="84" spans="1:11" s="9" customFormat="1" x14ac:dyDescent="0.25">
      <c r="A84" s="9" t="s">
        <v>34</v>
      </c>
      <c r="B84">
        <v>8617</v>
      </c>
      <c r="C84">
        <v>-2001</v>
      </c>
      <c r="D84">
        <v>55906</v>
      </c>
      <c r="E84">
        <v>-2541</v>
      </c>
      <c r="F84">
        <v>101904</v>
      </c>
      <c r="G84">
        <v>17289</v>
      </c>
      <c r="H84">
        <v>10455</v>
      </c>
      <c r="I84">
        <v>-16646</v>
      </c>
      <c r="J84">
        <v>-31891</v>
      </c>
      <c r="K84">
        <v>-51549</v>
      </c>
    </row>
    <row r="85" spans="1:11" s="1" customFormat="1" x14ac:dyDescent="0.25">
      <c r="A85" s="9" t="s">
        <v>35</v>
      </c>
      <c r="B85">
        <v>-8034</v>
      </c>
      <c r="C85">
        <v>1266</v>
      </c>
      <c r="D85">
        <v>3745</v>
      </c>
      <c r="E85">
        <v>19839</v>
      </c>
      <c r="F85">
        <v>-13523</v>
      </c>
      <c r="G85">
        <v>18781</v>
      </c>
      <c r="H85">
        <v>32486</v>
      </c>
      <c r="I85">
        <v>28561</v>
      </c>
      <c r="J85">
        <v>9277</v>
      </c>
      <c r="K85">
        <v>39475</v>
      </c>
    </row>
    <row r="86" spans="1:11" x14ac:dyDescent="0.25">
      <c r="A86" s="9"/>
    </row>
    <row r="87" spans="1:11" x14ac:dyDescent="0.25">
      <c r="A87" s="9"/>
    </row>
    <row r="88" spans="1:11" x14ac:dyDescent="0.25">
      <c r="A88" s="9"/>
    </row>
    <row r="89" spans="1:11" x14ac:dyDescent="0.25">
      <c r="A89" s="9"/>
    </row>
    <row r="90" spans="1:11" s="1" customFormat="1" x14ac:dyDescent="0.25">
      <c r="A90" s="1" t="s">
        <v>68</v>
      </c>
      <c r="B90">
        <v>300.08999999999997</v>
      </c>
      <c r="C90">
        <v>401.08</v>
      </c>
      <c r="D90">
        <v>619.42999999999995</v>
      </c>
      <c r="E90">
        <v>506.06</v>
      </c>
      <c r="F90">
        <v>918.78</v>
      </c>
      <c r="G90">
        <v>1208.51</v>
      </c>
      <c r="H90">
        <v>1069.21</v>
      </c>
      <c r="I90">
        <v>1485.85</v>
      </c>
      <c r="J90">
        <v>1275.0999999999999</v>
      </c>
      <c r="K90">
        <v>1343.9</v>
      </c>
    </row>
    <row r="92" spans="1:11" s="1" customFormat="1" x14ac:dyDescent="0.25">
      <c r="A92" s="1" t="s">
        <v>67</v>
      </c>
    </row>
    <row r="93" spans="1:11" x14ac:dyDescent="0.25">
      <c r="A93" s="5" t="s">
        <v>80</v>
      </c>
      <c r="B93" s="26">
        <v>1387.22</v>
      </c>
      <c r="C93" s="26">
        <v>1351.39</v>
      </c>
      <c r="D93" s="26">
        <v>1352.26</v>
      </c>
      <c r="E93" s="26">
        <v>1352.37</v>
      </c>
      <c r="F93" s="26">
        <v>1267.8900000000001</v>
      </c>
      <c r="G93" s="26">
        <v>1352.98</v>
      </c>
      <c r="H93" s="26">
        <v>1353.12</v>
      </c>
      <c r="I93" s="26">
        <v>1353.14</v>
      </c>
      <c r="J93" s="26">
        <v>1353.24</v>
      </c>
      <c r="K93" s="26">
        <v>1353.25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B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style="11" bestFit="1" customWidth="1"/>
    <col min="2" max="2" width="13.42578125" style="11" customWidth="1"/>
    <col min="3" max="11" width="15.42578125" style="11" customWidth="1"/>
    <col min="12" max="16384" width="8.85546875" style="11"/>
  </cols>
  <sheetData>
    <row r="1" spans="1:11" s="8" customFormat="1" x14ac:dyDescent="0.25">
      <c r="A1" s="8" t="str">
        <f>'Profit &amp; Loss'!A1</f>
        <v>RELIANCE INDUSTRIES LTD</v>
      </c>
      <c r="E1" t="str">
        <f>UPDATE</f>
        <v/>
      </c>
      <c r="G1"/>
      <c r="J1" s="4" t="s">
        <v>1</v>
      </c>
      <c r="K1" s="4"/>
    </row>
    <row r="2" spans="1:11" x14ac:dyDescent="0.25">
      <c r="G2" s="8"/>
      <c r="H2" s="8"/>
    </row>
    <row r="3" spans="1:11" s="18" customFormat="1" x14ac:dyDescent="0.25">
      <c r="A3" s="15" t="s">
        <v>2</v>
      </c>
      <c r="B3" s="16">
        <f>'Data Sheet'!B56</f>
        <v>42825</v>
      </c>
      <c r="C3" s="16">
        <f>'Data Sheet'!C56</f>
        <v>43190</v>
      </c>
      <c r="D3" s="16">
        <f>'Data Sheet'!D56</f>
        <v>43555</v>
      </c>
      <c r="E3" s="16">
        <f>'Data Sheet'!E56</f>
        <v>43921</v>
      </c>
      <c r="F3" s="16">
        <f>'Data Sheet'!F56</f>
        <v>44286</v>
      </c>
      <c r="G3" s="16">
        <f>'Data Sheet'!G56</f>
        <v>44651</v>
      </c>
      <c r="H3" s="16">
        <f>'Data Sheet'!H56</f>
        <v>45016</v>
      </c>
      <c r="I3" s="16">
        <f>'Data Sheet'!I56</f>
        <v>45382</v>
      </c>
      <c r="J3" s="16">
        <f>'Data Sheet'!J56</f>
        <v>45747</v>
      </c>
      <c r="K3" s="16">
        <f>'Data Sheet'!K56</f>
        <v>46112</v>
      </c>
    </row>
    <row r="4" spans="1:11" x14ac:dyDescent="0.25">
      <c r="A4" s="6" t="s">
        <v>24</v>
      </c>
      <c r="B4" s="19">
        <f>'Data Sheet'!B57</f>
        <v>2959</v>
      </c>
      <c r="C4" s="19">
        <f>'Data Sheet'!C57</f>
        <v>5922</v>
      </c>
      <c r="D4" s="19">
        <f>'Data Sheet'!D57</f>
        <v>5926</v>
      </c>
      <c r="E4" s="19">
        <f>'Data Sheet'!E57</f>
        <v>6339</v>
      </c>
      <c r="F4" s="19">
        <f>'Data Sheet'!F57</f>
        <v>6445</v>
      </c>
      <c r="G4" s="19">
        <f>'Data Sheet'!G57</f>
        <v>6765</v>
      </c>
      <c r="H4" s="19">
        <f>'Data Sheet'!H57</f>
        <v>6766</v>
      </c>
      <c r="I4" s="19">
        <f>'Data Sheet'!I57</f>
        <v>6766</v>
      </c>
      <c r="J4" s="19">
        <f>'Data Sheet'!J57</f>
        <v>13532</v>
      </c>
      <c r="K4" s="19">
        <f>'Data Sheet'!K57</f>
        <v>13532</v>
      </c>
    </row>
    <row r="5" spans="1:11" s="6" customFormat="1" x14ac:dyDescent="0.25">
      <c r="A5" s="6" t="s">
        <v>25</v>
      </c>
      <c r="B5" s="19">
        <f>'Data Sheet'!B58</f>
        <v>260750</v>
      </c>
      <c r="C5" s="19">
        <f>'Data Sheet'!C58</f>
        <v>287584</v>
      </c>
      <c r="D5" s="19">
        <f>'Data Sheet'!D58</f>
        <v>381186</v>
      </c>
      <c r="E5" s="19">
        <f>'Data Sheet'!E58</f>
        <v>442827</v>
      </c>
      <c r="F5" s="19">
        <f>'Data Sheet'!F58</f>
        <v>693727</v>
      </c>
      <c r="G5" s="19">
        <f>'Data Sheet'!G58</f>
        <v>772720</v>
      </c>
      <c r="H5" s="19">
        <f>'Data Sheet'!H58</f>
        <v>709106</v>
      </c>
      <c r="I5" s="19">
        <f>'Data Sheet'!I58</f>
        <v>786715</v>
      </c>
      <c r="J5" s="19">
        <f>'Data Sheet'!J58</f>
        <v>829668</v>
      </c>
      <c r="K5" s="19">
        <f>'Data Sheet'!K58</f>
        <v>890498</v>
      </c>
    </row>
    <row r="6" spans="1:11" x14ac:dyDescent="0.25">
      <c r="A6" s="11" t="s">
        <v>62</v>
      </c>
      <c r="B6" s="19">
        <f>'Data Sheet'!B59</f>
        <v>217475</v>
      </c>
      <c r="C6" s="19">
        <f>'Data Sheet'!C59</f>
        <v>239843</v>
      </c>
      <c r="D6" s="19">
        <f>'Data Sheet'!D59</f>
        <v>307714</v>
      </c>
      <c r="E6" s="19">
        <f>'Data Sheet'!E59</f>
        <v>355133</v>
      </c>
      <c r="F6" s="19">
        <f>'Data Sheet'!F59</f>
        <v>278962</v>
      </c>
      <c r="G6" s="19">
        <f>'Data Sheet'!G59</f>
        <v>319158</v>
      </c>
      <c r="H6" s="19">
        <f>'Data Sheet'!H59</f>
        <v>451664</v>
      </c>
      <c r="I6" s="19">
        <f>'Data Sheet'!I59</f>
        <v>350719</v>
      </c>
      <c r="J6" s="19">
        <f>'Data Sheet'!J59</f>
        <v>374313</v>
      </c>
      <c r="K6" s="19">
        <f>'Data Sheet'!K59</f>
        <v>398000</v>
      </c>
    </row>
    <row r="7" spans="1:11" s="6" customFormat="1" x14ac:dyDescent="0.25">
      <c r="A7" s="11" t="s">
        <v>63</v>
      </c>
      <c r="B7" s="19">
        <f>'Data Sheet'!B60</f>
        <v>225618</v>
      </c>
      <c r="C7" s="19">
        <f>'Data Sheet'!C60</f>
        <v>277924</v>
      </c>
      <c r="D7" s="19">
        <f>'Data Sheet'!D60</f>
        <v>302804</v>
      </c>
      <c r="E7" s="19">
        <f>'Data Sheet'!E60</f>
        <v>358716</v>
      </c>
      <c r="F7" s="19">
        <f>'Data Sheet'!F60</f>
        <v>340931</v>
      </c>
      <c r="G7" s="19">
        <f>'Data Sheet'!G60</f>
        <v>399979</v>
      </c>
      <c r="H7" s="19">
        <f>'Data Sheet'!H60</f>
        <v>438346</v>
      </c>
      <c r="I7" s="19">
        <f>'Data Sheet'!I60</f>
        <v>610848</v>
      </c>
      <c r="J7" s="19">
        <f>'Data Sheet'!J60</f>
        <v>732200</v>
      </c>
      <c r="K7" s="19">
        <f>'Data Sheet'!K60</f>
        <v>876110</v>
      </c>
    </row>
    <row r="8" spans="1:11" s="8" customFormat="1" x14ac:dyDescent="0.25">
      <c r="A8" s="8" t="s">
        <v>26</v>
      </c>
      <c r="B8" s="20">
        <f>'Data Sheet'!B61</f>
        <v>706802</v>
      </c>
      <c r="C8" s="20">
        <f>'Data Sheet'!C61</f>
        <v>811273</v>
      </c>
      <c r="D8" s="20">
        <f>'Data Sheet'!D61</f>
        <v>997630</v>
      </c>
      <c r="E8" s="20">
        <f>'Data Sheet'!E61</f>
        <v>1163015</v>
      </c>
      <c r="F8" s="20">
        <f>'Data Sheet'!F61</f>
        <v>1320065</v>
      </c>
      <c r="G8" s="20">
        <f>'Data Sheet'!G61</f>
        <v>1498622</v>
      </c>
      <c r="H8" s="20">
        <f>'Data Sheet'!H61</f>
        <v>1605882</v>
      </c>
      <c r="I8" s="20">
        <f>'Data Sheet'!I61</f>
        <v>1755048</v>
      </c>
      <c r="J8" s="20">
        <f>'Data Sheet'!J61</f>
        <v>1949713</v>
      </c>
      <c r="K8" s="20">
        <f>'Data Sheet'!K61</f>
        <v>2178140</v>
      </c>
    </row>
    <row r="9" spans="1:11" s="8" customFormat="1" x14ac:dyDescent="0.25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5">
      <c r="A10" s="6" t="s">
        <v>27</v>
      </c>
      <c r="B10" s="19">
        <f>'Data Sheet'!B62</f>
        <v>198526</v>
      </c>
      <c r="C10" s="19">
        <f>'Data Sheet'!C62</f>
        <v>403885</v>
      </c>
      <c r="D10" s="19">
        <f>'Data Sheet'!D62</f>
        <v>398374</v>
      </c>
      <c r="E10" s="19">
        <f>'Data Sheet'!E62</f>
        <v>532658</v>
      </c>
      <c r="F10" s="19">
        <f>'Data Sheet'!F62</f>
        <v>541258</v>
      </c>
      <c r="G10" s="19">
        <f>'Data Sheet'!G62</f>
        <v>627798</v>
      </c>
      <c r="H10" s="19">
        <f>'Data Sheet'!H62</f>
        <v>724805</v>
      </c>
      <c r="I10" s="19">
        <f>'Data Sheet'!I62</f>
        <v>779985</v>
      </c>
      <c r="J10" s="19">
        <f>'Data Sheet'!J62</f>
        <v>999393</v>
      </c>
      <c r="K10" s="19">
        <f>'Data Sheet'!K62</f>
        <v>1170194</v>
      </c>
    </row>
    <row r="11" spans="1:11" x14ac:dyDescent="0.25">
      <c r="A11" s="6" t="s">
        <v>28</v>
      </c>
      <c r="B11" s="19">
        <f>'Data Sheet'!B63</f>
        <v>324837</v>
      </c>
      <c r="C11" s="19">
        <f>'Data Sheet'!C63</f>
        <v>187022</v>
      </c>
      <c r="D11" s="19">
        <f>'Data Sheet'!D63</f>
        <v>179463</v>
      </c>
      <c r="E11" s="19">
        <f>'Data Sheet'!E63</f>
        <v>109106</v>
      </c>
      <c r="F11" s="19">
        <f>'Data Sheet'!F63</f>
        <v>125953</v>
      </c>
      <c r="G11" s="19">
        <f>'Data Sheet'!G63</f>
        <v>172506</v>
      </c>
      <c r="H11" s="19">
        <f>'Data Sheet'!H63</f>
        <v>293752</v>
      </c>
      <c r="I11" s="19">
        <f>'Data Sheet'!I63</f>
        <v>338855</v>
      </c>
      <c r="J11" s="19">
        <f>'Data Sheet'!J63</f>
        <v>262358</v>
      </c>
      <c r="K11" s="19">
        <f>'Data Sheet'!K63</f>
        <v>192287</v>
      </c>
    </row>
    <row r="12" spans="1:11" x14ac:dyDescent="0.25">
      <c r="A12" s="6" t="s">
        <v>29</v>
      </c>
      <c r="B12" s="19">
        <f>'Data Sheet'!B64</f>
        <v>82899</v>
      </c>
      <c r="C12" s="19">
        <f>'Data Sheet'!C64</f>
        <v>82862</v>
      </c>
      <c r="D12" s="19">
        <f>'Data Sheet'!D64</f>
        <v>235635</v>
      </c>
      <c r="E12" s="19">
        <f>'Data Sheet'!E64</f>
        <v>276767</v>
      </c>
      <c r="F12" s="19">
        <f>'Data Sheet'!F64</f>
        <v>364828</v>
      </c>
      <c r="G12" s="19">
        <f>'Data Sheet'!G64</f>
        <v>394264</v>
      </c>
      <c r="H12" s="19">
        <f>'Data Sheet'!H64</f>
        <v>235560</v>
      </c>
      <c r="I12" s="19">
        <f>'Data Sheet'!I64</f>
        <v>225672</v>
      </c>
      <c r="J12" s="19">
        <f>'Data Sheet'!J64</f>
        <v>242381</v>
      </c>
      <c r="K12" s="19">
        <f>'Data Sheet'!K64</f>
        <v>248332</v>
      </c>
    </row>
    <row r="13" spans="1:11" x14ac:dyDescent="0.25">
      <c r="A13" s="11" t="s">
        <v>64</v>
      </c>
      <c r="B13" s="19">
        <f>'Data Sheet'!B65</f>
        <v>100540</v>
      </c>
      <c r="C13" s="19">
        <f>'Data Sheet'!C65</f>
        <v>137504</v>
      </c>
      <c r="D13" s="19">
        <f>'Data Sheet'!D65</f>
        <v>184158</v>
      </c>
      <c r="E13" s="19">
        <f>'Data Sheet'!E65</f>
        <v>244484</v>
      </c>
      <c r="F13" s="19">
        <f>'Data Sheet'!F65</f>
        <v>288026</v>
      </c>
      <c r="G13" s="19">
        <f>'Data Sheet'!G65</f>
        <v>304054</v>
      </c>
      <c r="H13" s="19">
        <f>'Data Sheet'!H65</f>
        <v>351765</v>
      </c>
      <c r="I13" s="19">
        <f>'Data Sheet'!I65</f>
        <v>410536</v>
      </c>
      <c r="J13" s="19">
        <f>'Data Sheet'!J65</f>
        <v>445581</v>
      </c>
      <c r="K13" s="19">
        <f>'Data Sheet'!K65</f>
        <v>567327</v>
      </c>
    </row>
    <row r="14" spans="1:11" s="8" customFormat="1" x14ac:dyDescent="0.25">
      <c r="A14" s="8" t="s">
        <v>26</v>
      </c>
      <c r="B14" s="19">
        <f>'Data Sheet'!B66</f>
        <v>706802</v>
      </c>
      <c r="C14" s="19">
        <f>'Data Sheet'!C66</f>
        <v>811273</v>
      </c>
      <c r="D14" s="19">
        <f>'Data Sheet'!D66</f>
        <v>997630</v>
      </c>
      <c r="E14" s="19">
        <f>'Data Sheet'!E66</f>
        <v>1163015</v>
      </c>
      <c r="F14" s="19">
        <f>'Data Sheet'!F66</f>
        <v>1320065</v>
      </c>
      <c r="G14" s="19">
        <f>'Data Sheet'!G66</f>
        <v>1498622</v>
      </c>
      <c r="H14" s="19">
        <f>'Data Sheet'!H66</f>
        <v>1605882</v>
      </c>
      <c r="I14" s="19">
        <f>'Data Sheet'!I66</f>
        <v>1755048</v>
      </c>
      <c r="J14" s="19">
        <f>'Data Sheet'!J66</f>
        <v>1949713</v>
      </c>
      <c r="K14" s="19">
        <f>'Data Sheet'!K66</f>
        <v>2178140</v>
      </c>
    </row>
    <row r="15" spans="1:11" x14ac:dyDescent="0.25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5">
      <c r="A16" s="25" t="s">
        <v>30</v>
      </c>
      <c r="B16" s="21">
        <f>B13-B7</f>
        <v>-125078</v>
      </c>
      <c r="C16" s="21">
        <f t="shared" ref="C16:K16" si="0">C13-C7</f>
        <v>-140420</v>
      </c>
      <c r="D16" s="21">
        <f t="shared" si="0"/>
        <v>-118646</v>
      </c>
      <c r="E16" s="21">
        <f t="shared" si="0"/>
        <v>-114232</v>
      </c>
      <c r="F16" s="21">
        <f t="shared" si="0"/>
        <v>-52905</v>
      </c>
      <c r="G16" s="21">
        <f t="shared" si="0"/>
        <v>-95925</v>
      </c>
      <c r="H16" s="21">
        <f t="shared" si="0"/>
        <v>-86581</v>
      </c>
      <c r="I16" s="21">
        <f t="shared" si="0"/>
        <v>-200312</v>
      </c>
      <c r="J16" s="21">
        <f t="shared" si="0"/>
        <v>-286619</v>
      </c>
      <c r="K16" s="21">
        <f t="shared" si="0"/>
        <v>-308783</v>
      </c>
    </row>
    <row r="17" spans="1:11" x14ac:dyDescent="0.25">
      <c r="A17" s="11" t="s">
        <v>44</v>
      </c>
      <c r="B17" s="21">
        <f>'Data Sheet'!B67</f>
        <v>8177</v>
      </c>
      <c r="C17" s="21">
        <f>'Data Sheet'!C67</f>
        <v>17555</v>
      </c>
      <c r="D17" s="21">
        <f>'Data Sheet'!D67</f>
        <v>30089</v>
      </c>
      <c r="E17" s="21">
        <f>'Data Sheet'!E67</f>
        <v>19656</v>
      </c>
      <c r="F17" s="21">
        <f>'Data Sheet'!F67</f>
        <v>19014</v>
      </c>
      <c r="G17" s="21">
        <f>'Data Sheet'!G67</f>
        <v>23640</v>
      </c>
      <c r="H17" s="21">
        <f>'Data Sheet'!H67</f>
        <v>28448</v>
      </c>
      <c r="I17" s="21">
        <f>'Data Sheet'!I67</f>
        <v>31628</v>
      </c>
      <c r="J17" s="21">
        <f>'Data Sheet'!J67</f>
        <v>42121</v>
      </c>
      <c r="K17" s="21">
        <f>'Data Sheet'!K67</f>
        <v>58491</v>
      </c>
    </row>
    <row r="18" spans="1:11" x14ac:dyDescent="0.25">
      <c r="A18" s="11" t="s">
        <v>45</v>
      </c>
      <c r="B18" s="21">
        <f>'Data Sheet'!B68</f>
        <v>48951</v>
      </c>
      <c r="C18" s="21">
        <f>'Data Sheet'!C68</f>
        <v>60837</v>
      </c>
      <c r="D18" s="21">
        <f>'Data Sheet'!D68</f>
        <v>67561</v>
      </c>
      <c r="E18" s="21">
        <f>'Data Sheet'!E68</f>
        <v>73903</v>
      </c>
      <c r="F18" s="21">
        <f>'Data Sheet'!F68</f>
        <v>81672</v>
      </c>
      <c r="G18" s="21">
        <f>'Data Sheet'!G68</f>
        <v>107778</v>
      </c>
      <c r="H18" s="21">
        <f>'Data Sheet'!H68</f>
        <v>140008</v>
      </c>
      <c r="I18" s="21">
        <f>'Data Sheet'!I68</f>
        <v>152770</v>
      </c>
      <c r="J18" s="21">
        <f>'Data Sheet'!J68</f>
        <v>146062</v>
      </c>
      <c r="K18" s="21">
        <f>'Data Sheet'!K68</f>
        <v>166941</v>
      </c>
    </row>
    <row r="20" spans="1:11" x14ac:dyDescent="0.25">
      <c r="A20" s="11" t="s">
        <v>46</v>
      </c>
      <c r="B20" s="5">
        <f>IF('Profit &amp; Loss'!B4&gt;0,'Balance Sheet'!B17/('Profit &amp; Loss'!B4/365),0)</f>
        <v>9.8192654151615049</v>
      </c>
      <c r="C20" s="5">
        <f>IF('Profit &amp; Loss'!C4&gt;0,'Balance Sheet'!C17/('Profit &amp; Loss'!C4/365),0)</f>
        <v>16.395081661007669</v>
      </c>
      <c r="D20" s="5">
        <f>IF('Profit &amp; Loss'!D4&gt;0,'Balance Sheet'!D17/('Profit &amp; Loss'!D4/365),0)</f>
        <v>19.323895857563382</v>
      </c>
      <c r="E20" s="5">
        <f>IF('Profit &amp; Loss'!E4&gt;0,'Balance Sheet'!E17/('Profit &amp; Loss'!E4/365),0)</f>
        <v>12.023952577516555</v>
      </c>
      <c r="F20" s="5">
        <f>IF('Profit &amp; Loss'!F4&gt;0,'Balance Sheet'!F17/('Profit &amp; Loss'!F4/365),0)</f>
        <v>14.883134930421376</v>
      </c>
      <c r="G20" s="5">
        <f>IF('Profit &amp; Loss'!G4&gt;0,'Balance Sheet'!G17/('Profit &amp; Loss'!G4/365),0)</f>
        <v>12.421095968894717</v>
      </c>
      <c r="H20" s="5">
        <f>IF('Profit &amp; Loss'!H4&gt;0,'Balance Sheet'!H17/('Profit &amp; Loss'!H4/365),0)</f>
        <v>11.847977398345039</v>
      </c>
      <c r="I20" s="5">
        <f>IF('Profit &amp; Loss'!I4&gt;0,'Balance Sheet'!I17/('Profit &amp; Loss'!I4/365),0)</f>
        <v>12.840593476826974</v>
      </c>
      <c r="J20" s="5">
        <f>IF('Profit &amp; Loss'!J4&gt;0,'Balance Sheet'!J17/('Profit &amp; Loss'!J4/365),0)</f>
        <v>15.967849649986498</v>
      </c>
      <c r="K20" s="5">
        <f>IF('Profit &amp; Loss'!K4&gt;0,'Balance Sheet'!K17/('Profit &amp; Loss'!K4/365),0)</f>
        <v>20.193748882681827</v>
      </c>
    </row>
    <row r="21" spans="1:11" x14ac:dyDescent="0.25">
      <c r="A21" s="11" t="s">
        <v>47</v>
      </c>
      <c r="B21" s="5">
        <f>IF('Balance Sheet'!B18&gt;0,'Profit &amp; Loss'!B4/'Balance Sheet'!B18,0)</f>
        <v>6.2093522093522093</v>
      </c>
      <c r="C21" s="5">
        <f>IF('Balance Sheet'!C18&gt;0,'Profit &amp; Loss'!C4/'Balance Sheet'!C18,0)</f>
        <v>6.4241004651774416</v>
      </c>
      <c r="D21" s="5">
        <f>IF('Balance Sheet'!D18&gt;0,'Profit &amp; Loss'!D4/'Balance Sheet'!D18,0)</f>
        <v>8.41220526635189</v>
      </c>
      <c r="E21" s="5">
        <f>IF('Balance Sheet'!E18&gt;0,'Profit &amp; Loss'!E4/'Balance Sheet'!E18,0)</f>
        <v>8.0738129710566557</v>
      </c>
      <c r="F21" s="5">
        <f>IF('Balance Sheet'!F18&gt;0,'Profit &amp; Loss'!F4/'Balance Sheet'!F18,0)</f>
        <v>5.7095087667744151</v>
      </c>
      <c r="G21" s="5">
        <f>IF('Balance Sheet'!G18&gt;0,'Profit &amp; Loss'!G4/'Balance Sheet'!G18,0)</f>
        <v>6.4454062981313438</v>
      </c>
      <c r="H21" s="5">
        <f>IF('Balance Sheet'!H18&gt;0,'Profit &amp; Loss'!H4/'Balance Sheet'!H18,0)</f>
        <v>6.2596137363579221</v>
      </c>
      <c r="I21" s="5">
        <f>IF('Balance Sheet'!I18&gt;0,'Profit &amp; Loss'!I4/'Balance Sheet'!I18,0)</f>
        <v>5.8849315965176405</v>
      </c>
      <c r="J21" s="5">
        <f>IF('Balance Sheet'!J18&gt;0,'Profit &amp; Loss'!J4/'Balance Sheet'!J18,0)</f>
        <v>6.5918582519751885</v>
      </c>
      <c r="K21" s="5">
        <f>IF('Balance Sheet'!K18&gt;0,'Profit &amp; Loss'!K4/'Balance Sheet'!K18,0)</f>
        <v>6.3328900629563742</v>
      </c>
    </row>
    <row r="23" spans="1:11" s="8" customFormat="1" x14ac:dyDescent="0.25">
      <c r="A23" s="8" t="s">
        <v>50</v>
      </c>
      <c r="B23" s="14">
        <f>IF(SUM('Balance Sheet'!B4:B5)&gt;0,'Profit &amp; Loss'!B12/SUM('Balance Sheet'!B4:B5),"")</f>
        <v>0.11338634631355016</v>
      </c>
      <c r="C23" s="14">
        <f>IF(SUM('Balance Sheet'!C4:C5)&gt;0,'Profit &amp; Loss'!C12/SUM('Balance Sheet'!C4:C5),"")</f>
        <v>0.12291060489393743</v>
      </c>
      <c r="D23" s="14">
        <f>IF(SUM('Balance Sheet'!D4:D5)&gt;0,'Profit &amp; Loss'!D12/SUM('Balance Sheet'!D4:D5),"")</f>
        <v>0.10226497757754861</v>
      </c>
      <c r="E23" s="14">
        <f>IF(SUM('Balance Sheet'!E4:E5)&gt;0,'Profit &amp; Loss'!E12/SUM('Balance Sheet'!E4:E5),"")</f>
        <v>8.7615714457461163E-2</v>
      </c>
      <c r="F23" s="14">
        <f>IF(SUM('Balance Sheet'!F4:F5)&gt;0,'Profit &amp; Loss'!F12/SUM('Balance Sheet'!F4:F5),"")</f>
        <v>7.0165616448529797E-2</v>
      </c>
      <c r="G23" s="14">
        <f>IF(SUM('Balance Sheet'!G4:G5)&gt;0,'Profit &amp; Loss'!G12/SUM('Balance Sheet'!G4:G5),"")</f>
        <v>7.787834275194519E-2</v>
      </c>
      <c r="H23" s="14">
        <f>IF(SUM('Balance Sheet'!H4:H5)&gt;0,'Profit &amp; Loss'!H12/SUM('Balance Sheet'!H4:H5),"")</f>
        <v>9.3175875016762777E-2</v>
      </c>
      <c r="I23" s="14">
        <f>IF(SUM('Balance Sheet'!I4:I5)&gt;0,'Profit &amp; Loss'!I12/SUM('Balance Sheet'!I4:I5),"")</f>
        <v>8.7741231359036956E-2</v>
      </c>
      <c r="J23" s="14">
        <f>IF(SUM('Balance Sheet'!J4:J5)&gt;0,'Profit &amp; Loss'!J12/SUM('Balance Sheet'!J4:J5),"")</f>
        <v>8.259962049335863E-2</v>
      </c>
      <c r="K23" s="14">
        <f>IF(SUM('Balance Sheet'!K4:K5)&gt;0,'Profit &amp; Loss'!K12/SUM('Balance Sheet'!K4:K5),"")</f>
        <v>8.9349910954282491E-2</v>
      </c>
    </row>
    <row r="24" spans="1:11" s="8" customFormat="1" x14ac:dyDescent="0.25">
      <c r="A24" s="8" t="s">
        <v>51</v>
      </c>
      <c r="B24" s="14"/>
      <c r="C24" s="14">
        <f>IF((B4+B5+B6+C4+C5+C6)&gt;0,('Profit &amp; Loss'!C10+'Profit &amp; Loss'!C9)*2/(B4+B5+B6+C4+C5+C6),"")</f>
        <v>0.1133092762877107</v>
      </c>
      <c r="D24" s="14">
        <f>IF((C4+C5+C6+D4+D5+D6)&gt;0,('Profit &amp; Loss'!D10+'Profit &amp; Loss'!D9)*2/(C4+C5+C6+D4+D5+D6),"")</f>
        <v>0.11679443076108861</v>
      </c>
      <c r="E24" s="14">
        <f>IF((D4+D5+D6+E4+E5+E6)&gt;0,('Profit &amp; Loss'!E10+'Profit &amp; Loss'!E9)*2/(D4+D5+D6+E4+E5+E6),"")</f>
        <v>0.10090286000166764</v>
      </c>
      <c r="F24" s="14">
        <f>IF((E4+E5+E6+F4+F5+F6)&gt;0,('Profit &amp; Loss'!F10+'Profit &amp; Loss'!F9)*2/(E4+E5+E6+F4+F5+F6),"")</f>
        <v>8.5957812825040239E-2</v>
      </c>
      <c r="G24" s="14">
        <f>IF((F4+F5+F6+G4+G5+G6)&gt;0,('Profit &amp; Loss'!G10+'Profit &amp; Loss'!G9)*2/(F4+F5+F6+G4+G5+G6),"")</f>
        <v>9.4715650428318338E-2</v>
      </c>
      <c r="H24" s="14">
        <f>IF((G4+G5+G6+H4+H5+H6)&gt;0,('Profit &amp; Loss'!H10+'Profit &amp; Loss'!H9)*2/(G4+G5+G6+H4+H5+H6),"")</f>
        <v>0.10064077021276784</v>
      </c>
      <c r="I24" s="14">
        <f>IF((H4+H5+H6+I4+I5+I6)&gt;0,('Profit &amp; Loss'!I10+'Profit &amp; Loss'!I9)*2/(H4+H5+H6+I4+I5+I6),"")</f>
        <v>0.11027037689424744</v>
      </c>
      <c r="J24" s="14">
        <f>IF((I4+I5+I6+J4+J5+J6)&gt;0,('Profit &amp; Loss'!J10+'Profit &amp; Loss'!J9)*2/(I4+I5+I6+J4+J5+J6),"")</f>
        <v>0.11033178036450661</v>
      </c>
      <c r="K24" s="14">
        <f>IF((J4+J5+J6+K4+K5+K6)&gt;0,('Profit &amp; Loss'!K10+'Profit &amp; Loss'!K9)*2/(J4+J5+J6+K4+K5+K6),"")</f>
        <v>0.11924622838348066</v>
      </c>
    </row>
    <row r="25" spans="1:11" s="18" customFormat="1" x14ac:dyDescent="0.25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4CF55-D6E5-4329-807A-E1DCE7F9BB93}">
  <sheetPr>
    <tabColor rgb="FF00B050"/>
    <pageSetUpPr fitToPage="1"/>
  </sheetPr>
  <dimension ref="A2:M118"/>
  <sheetViews>
    <sheetView topLeftCell="A68" zoomScale="85" zoomScaleNormal="85" workbookViewId="0">
      <selection activeCell="D87" sqref="D87"/>
    </sheetView>
  </sheetViews>
  <sheetFormatPr defaultRowHeight="15" x14ac:dyDescent="0.25"/>
  <cols>
    <col min="1" max="1" width="2" style="27" customWidth="1"/>
    <col min="2" max="2" width="34.140625" style="27" customWidth="1"/>
    <col min="3" max="3" width="18" style="27" customWidth="1"/>
    <col min="4" max="4" width="22.140625" style="27" customWidth="1"/>
    <col min="5" max="5" width="18.7109375" style="27" customWidth="1"/>
    <col min="6" max="7" width="18.5703125" style="27" customWidth="1"/>
    <col min="8" max="8" width="19.85546875" style="27" customWidth="1"/>
    <col min="9" max="9" width="20.85546875" style="27" customWidth="1"/>
    <col min="10" max="10" width="20" style="27" customWidth="1"/>
    <col min="11" max="11" width="22.28515625" style="27" customWidth="1"/>
    <col min="12" max="12" width="13.85546875" style="27" customWidth="1"/>
    <col min="13" max="13" width="9.140625" style="27"/>
    <col min="14" max="14" width="23.28515625" style="27" customWidth="1"/>
    <col min="15" max="16384" width="9.140625" style="27"/>
  </cols>
  <sheetData>
    <row r="2" spans="1:12" x14ac:dyDescent="0.25">
      <c r="B2" s="32"/>
      <c r="C2" s="32"/>
      <c r="D2" s="32" t="str">
        <f>"FIANANCIAL HISTORICAL STATAMENT - "&amp;'Data Sheet'!B1</f>
        <v>FIANANCIAL HISTORICAL STATAMENT - RELIANCE INDUSTRIES LTD</v>
      </c>
      <c r="E2" s="31"/>
      <c r="F2" s="31"/>
      <c r="G2" s="31"/>
      <c r="H2" s="31"/>
      <c r="I2" s="31"/>
      <c r="J2" s="31"/>
      <c r="K2" s="31"/>
      <c r="L2" s="33"/>
    </row>
    <row r="3" spans="1:12" x14ac:dyDescent="0.25">
      <c r="B3" s="35" t="s">
        <v>81</v>
      </c>
      <c r="C3" s="33">
        <f>'Data Sheet'!B16</f>
        <v>42825</v>
      </c>
      <c r="D3" s="33">
        <f>'Data Sheet'!C16</f>
        <v>43190</v>
      </c>
      <c r="E3" s="33">
        <f>'Data Sheet'!D16</f>
        <v>43555</v>
      </c>
      <c r="F3" s="33">
        <f>'Data Sheet'!E16</f>
        <v>43921</v>
      </c>
      <c r="G3" s="33">
        <f>'Data Sheet'!F16</f>
        <v>44286</v>
      </c>
      <c r="H3" s="33">
        <f>'Data Sheet'!G16</f>
        <v>44651</v>
      </c>
      <c r="I3" s="33">
        <f>'Data Sheet'!H16</f>
        <v>45016</v>
      </c>
      <c r="J3" s="33">
        <f>'Data Sheet'!I16</f>
        <v>45382</v>
      </c>
      <c r="K3" s="33">
        <f>'Data Sheet'!J16</f>
        <v>45747</v>
      </c>
      <c r="L3" s="33">
        <f>'Data Sheet'!K16</f>
        <v>46112</v>
      </c>
    </row>
    <row r="4" spans="1:12" x14ac:dyDescent="0.25">
      <c r="A4" s="29" t="s">
        <v>105</v>
      </c>
      <c r="B4" s="36" t="s">
        <v>82</v>
      </c>
      <c r="C4" s="36"/>
      <c r="D4" s="37"/>
      <c r="E4" s="37"/>
      <c r="F4" s="37"/>
      <c r="G4" s="37"/>
      <c r="H4" s="37"/>
      <c r="I4" s="37"/>
      <c r="J4" s="37"/>
      <c r="K4" s="37"/>
      <c r="L4" s="37"/>
    </row>
    <row r="5" spans="1:12" x14ac:dyDescent="0.25">
      <c r="B5" s="28" t="s">
        <v>86</v>
      </c>
      <c r="C5" s="52" cm="1">
        <f t="array" ref="C5">IFERROR('Data Sheet'!B17,'Data Sheet'!B16:K16)</f>
        <v>303954</v>
      </c>
      <c r="D5" s="52" cm="1">
        <f t="array" ref="D5">IFERROR('Data Sheet'!C17,'Data Sheet'!C16:L16)</f>
        <v>390823</v>
      </c>
      <c r="E5" s="52" cm="1">
        <f t="array" ref="E5">IFERROR('Data Sheet'!D17,'Data Sheet'!D16:M16)</f>
        <v>568337</v>
      </c>
      <c r="F5" s="52" cm="1">
        <f t="array" ref="F5">IFERROR('Data Sheet'!E17,'Data Sheet'!E16:N16)</f>
        <v>596679</v>
      </c>
      <c r="G5" s="52" cm="1">
        <f t="array" ref="G5">IFERROR('Data Sheet'!F17,'Data Sheet'!F16:O16)</f>
        <v>466307</v>
      </c>
      <c r="H5" s="52" cm="1">
        <f t="array" ref="H5">IFERROR('Data Sheet'!G17,'Data Sheet'!G16:P16)</f>
        <v>694673</v>
      </c>
      <c r="I5" s="52" cm="1">
        <f t="array" ref="I5">IFERROR('Data Sheet'!H17,'Data Sheet'!H16:Q16)</f>
        <v>876396</v>
      </c>
      <c r="J5" s="52" cm="1">
        <f t="array" ref="J5">IFERROR('Data Sheet'!I17,'Data Sheet'!I16:R16)</f>
        <v>899041</v>
      </c>
      <c r="K5" s="52" cm="1">
        <f t="array" ref="K5">IFERROR('Data Sheet'!J17,'Data Sheet'!J16:S16)</f>
        <v>962820</v>
      </c>
      <c r="L5" s="52" cm="1">
        <f t="array" ref="L5">IFERROR('Data Sheet'!K17,'Data Sheet'!K16:T16)</f>
        <v>1057219</v>
      </c>
    </row>
    <row r="6" spans="1:12" x14ac:dyDescent="0.25">
      <c r="B6" s="29" t="s">
        <v>22</v>
      </c>
      <c r="C6" s="29"/>
      <c r="D6" s="30">
        <f>D5/C5-1</f>
        <v>0.28579653500200686</v>
      </c>
      <c r="E6" s="30">
        <f t="shared" ref="E6:L6" si="0">E5/D5-1</f>
        <v>0.45420561225925793</v>
      </c>
      <c r="F6" s="30">
        <f t="shared" si="0"/>
        <v>4.9868299969912266E-2</v>
      </c>
      <c r="G6" s="30">
        <f t="shared" si="0"/>
        <v>-0.21849604226057895</v>
      </c>
      <c r="H6" s="30">
        <f t="shared" si="0"/>
        <v>0.48973315862725619</v>
      </c>
      <c r="I6" s="30">
        <f t="shared" si="0"/>
        <v>0.26159502384575184</v>
      </c>
      <c r="J6" s="30">
        <f t="shared" si="0"/>
        <v>2.5838776078393799E-2</v>
      </c>
      <c r="K6" s="30">
        <f t="shared" si="0"/>
        <v>7.0941147289167006E-2</v>
      </c>
      <c r="L6" s="30">
        <f t="shared" si="0"/>
        <v>9.8044286574852979E-2</v>
      </c>
    </row>
    <row r="7" spans="1:12" x14ac:dyDescent="0.25">
      <c r="C7" s="53"/>
      <c r="D7" s="53"/>
      <c r="E7" s="53"/>
      <c r="F7" s="53"/>
      <c r="G7" s="53"/>
      <c r="H7" s="53"/>
      <c r="I7" s="53"/>
      <c r="J7" s="53"/>
      <c r="K7" s="53"/>
      <c r="L7" s="53"/>
    </row>
    <row r="8" spans="1:12" x14ac:dyDescent="0.25">
      <c r="B8" s="28" t="s">
        <v>83</v>
      </c>
      <c r="C8" s="54">
        <f>IFERROR(SUM('Data Sheet'!B18,'Data Sheet'!B20:B21,)-1*'Data Sheet'!B19,0)</f>
        <v>233460</v>
      </c>
      <c r="D8" s="54">
        <f>IFERROR(SUM('Data Sheet'!C18,'Data Sheet'!C20:C21,)-1*'Data Sheet'!C19,0)</f>
        <v>291726</v>
      </c>
      <c r="E8" s="54">
        <f>IFERROR(SUM('Data Sheet'!D18,'Data Sheet'!D20:D21,)-1*'Data Sheet'!D19,0)</f>
        <v>423714</v>
      </c>
      <c r="F8" s="54">
        <f>IFERROR(SUM('Data Sheet'!E18,'Data Sheet'!E20:E21,)-1*'Data Sheet'!E19,0)</f>
        <v>431772</v>
      </c>
      <c r="G8" s="54">
        <f>IFERROR(SUM('Data Sheet'!F18,'Data Sheet'!F20:F21,)-1*'Data Sheet'!F19,0)</f>
        <v>313602</v>
      </c>
      <c r="H8" s="54">
        <f>IFERROR(SUM('Data Sheet'!G18,'Data Sheet'!G20:G21,)-1*'Data Sheet'!G19,0)</f>
        <v>503068</v>
      </c>
      <c r="I8" s="54">
        <f>IFERROR(SUM('Data Sheet'!H18,'Data Sheet'!H20:H21,)-1*'Data Sheet'!H19,0)</f>
        <v>633203</v>
      </c>
      <c r="J8" s="54">
        <f>IFERROR(SUM('Data Sheet'!I18,'Data Sheet'!I20:I21,)-1*'Data Sheet'!I19,0)</f>
        <v>625756</v>
      </c>
      <c r="K8" s="54">
        <f>IFERROR(SUM('Data Sheet'!J18,'Data Sheet'!J20:J21,)-1*'Data Sheet'!J19,0)</f>
        <v>671870</v>
      </c>
      <c r="L8" s="54">
        <f>IFERROR(SUM('Data Sheet'!K18,'Data Sheet'!K20:K21,)-1*'Data Sheet'!K19,0)</f>
        <v>688663</v>
      </c>
    </row>
    <row r="9" spans="1:12" x14ac:dyDescent="0.25">
      <c r="B9" s="29" t="s">
        <v>84</v>
      </c>
      <c r="C9" s="30">
        <f>C8/C5</f>
        <v>0.76807674845535834</v>
      </c>
      <c r="D9" s="30">
        <f t="shared" ref="D9:L9" si="1">D8/D5</f>
        <v>0.74644020438919922</v>
      </c>
      <c r="E9" s="30">
        <f t="shared" si="1"/>
        <v>0.74553302002157174</v>
      </c>
      <c r="F9" s="30">
        <f t="shared" si="1"/>
        <v>0.72362526584646014</v>
      </c>
      <c r="G9" s="30">
        <f t="shared" si="1"/>
        <v>0.67252260849611956</v>
      </c>
      <c r="H9" s="30">
        <f t="shared" si="1"/>
        <v>0.72417957801728294</v>
      </c>
      <c r="I9" s="30">
        <f t="shared" si="1"/>
        <v>0.72250786174286508</v>
      </c>
      <c r="J9" s="30">
        <f t="shared" si="1"/>
        <v>0.69602609892096134</v>
      </c>
      <c r="K9" s="30">
        <f t="shared" si="1"/>
        <v>0.69781475249787084</v>
      </c>
      <c r="L9" s="30">
        <f t="shared" si="1"/>
        <v>0.65139105521183405</v>
      </c>
    </row>
    <row r="12" spans="1:12" x14ac:dyDescent="0.25">
      <c r="B12" s="42" t="s">
        <v>85</v>
      </c>
      <c r="C12" s="43">
        <f t="shared" ref="C12:L12" si="2">C5-C8</f>
        <v>70494</v>
      </c>
      <c r="D12" s="43">
        <f t="shared" si="2"/>
        <v>99097</v>
      </c>
      <c r="E12" s="43">
        <f t="shared" si="2"/>
        <v>144623</v>
      </c>
      <c r="F12" s="43">
        <f t="shared" si="2"/>
        <v>164907</v>
      </c>
      <c r="G12" s="43">
        <f t="shared" si="2"/>
        <v>152705</v>
      </c>
      <c r="H12" s="43">
        <f t="shared" si="2"/>
        <v>191605</v>
      </c>
      <c r="I12" s="43">
        <f t="shared" si="2"/>
        <v>243193</v>
      </c>
      <c r="J12" s="43">
        <f t="shared" si="2"/>
        <v>273285</v>
      </c>
      <c r="K12" s="43">
        <f t="shared" si="2"/>
        <v>290950</v>
      </c>
      <c r="L12" s="43">
        <f t="shared" si="2"/>
        <v>368556</v>
      </c>
    </row>
    <row r="13" spans="1:12" x14ac:dyDescent="0.25">
      <c r="B13" s="29" t="s">
        <v>156</v>
      </c>
      <c r="C13" s="30">
        <f t="shared" ref="C13:L13" si="3">C12/C5</f>
        <v>0.23192325154464163</v>
      </c>
      <c r="D13" s="30">
        <f t="shared" si="3"/>
        <v>0.25355979561080078</v>
      </c>
      <c r="E13" s="30">
        <f t="shared" si="3"/>
        <v>0.25446697997842826</v>
      </c>
      <c r="F13" s="30">
        <f t="shared" si="3"/>
        <v>0.27637473415353986</v>
      </c>
      <c r="G13" s="30">
        <f t="shared" si="3"/>
        <v>0.3274773915038805</v>
      </c>
      <c r="H13" s="30">
        <f t="shared" si="3"/>
        <v>0.27582042198271706</v>
      </c>
      <c r="I13" s="30">
        <f t="shared" si="3"/>
        <v>0.27749213825713492</v>
      </c>
      <c r="J13" s="30">
        <f t="shared" si="3"/>
        <v>0.30397390107903866</v>
      </c>
      <c r="K13" s="30">
        <f t="shared" si="3"/>
        <v>0.30218524750212916</v>
      </c>
      <c r="L13" s="30">
        <f t="shared" si="3"/>
        <v>0.34860894478816595</v>
      </c>
    </row>
    <row r="15" spans="1:12" x14ac:dyDescent="0.25">
      <c r="B15" s="28" t="s">
        <v>87</v>
      </c>
      <c r="C15" s="54">
        <f>IFERROR(SUM('Data Sheet'!B23,'Data Sheet'!B24),0)</f>
        <v>15799</v>
      </c>
      <c r="D15" s="54">
        <f>IFERROR(SUM('Data Sheet'!C23,'Data Sheet'!C24),0)</f>
        <v>25259</v>
      </c>
      <c r="E15" s="54">
        <f>IFERROR(SUM('Data Sheet'!D23,'Data Sheet'!D24),0)</f>
        <v>47885</v>
      </c>
      <c r="F15" s="54">
        <f>IFERROR(SUM('Data Sheet'!E23,'Data Sheet'!E24),0)</f>
        <v>61566</v>
      </c>
      <c r="G15" s="54">
        <f>IFERROR(SUM('Data Sheet'!F23,'Data Sheet'!F24),0)</f>
        <v>57098</v>
      </c>
      <c r="H15" s="54">
        <f>IFERROR(SUM('Data Sheet'!G23,'Data Sheet'!G24),0)</f>
        <v>64266</v>
      </c>
      <c r="I15" s="54">
        <f>IFERROR(SUM('Data Sheet'!H23,'Data Sheet'!H24),0)</f>
        <v>76003</v>
      </c>
      <c r="J15" s="54">
        <f>IFERROR(SUM('Data Sheet'!I23,'Data Sheet'!I24),0)</f>
        <v>85108</v>
      </c>
      <c r="K15" s="54">
        <f>IFERROR(SUM('Data Sheet'!J23,'Data Sheet'!J24),0)</f>
        <v>96793</v>
      </c>
      <c r="L15" s="54">
        <f>IFERROR(SUM('Data Sheet'!K23,'Data Sheet'!K24),0)</f>
        <v>159289</v>
      </c>
    </row>
    <row r="16" spans="1:12" x14ac:dyDescent="0.25">
      <c r="B16" s="29" t="s">
        <v>88</v>
      </c>
      <c r="C16" s="30">
        <f t="shared" ref="C16:L16" si="4">C15/C5</f>
        <v>5.1978259868269538E-2</v>
      </c>
      <c r="D16" s="30">
        <f t="shared" si="4"/>
        <v>6.4630280203570409E-2</v>
      </c>
      <c r="E16" s="30">
        <f t="shared" si="4"/>
        <v>8.425458838681979E-2</v>
      </c>
      <c r="F16" s="30">
        <f t="shared" si="4"/>
        <v>0.10318110742962296</v>
      </c>
      <c r="G16" s="30">
        <f t="shared" si="4"/>
        <v>0.12244722897147159</v>
      </c>
      <c r="H16" s="30">
        <f t="shared" si="4"/>
        <v>9.2512592255636822E-2</v>
      </c>
      <c r="I16" s="30">
        <f t="shared" si="4"/>
        <v>8.6722212333237486E-2</v>
      </c>
      <c r="J16" s="30">
        <f t="shared" si="4"/>
        <v>9.4665315597397673E-2</v>
      </c>
      <c r="K16" s="30">
        <f t="shared" si="4"/>
        <v>0.10053073263953802</v>
      </c>
      <c r="L16" s="30">
        <f t="shared" si="4"/>
        <v>0.15066793162060085</v>
      </c>
    </row>
    <row r="18" spans="2:12" x14ac:dyDescent="0.25">
      <c r="B18" s="42" t="s">
        <v>89</v>
      </c>
      <c r="C18" s="43">
        <f t="shared" ref="C18:L18" si="5">C12-C15</f>
        <v>54695</v>
      </c>
      <c r="D18" s="43">
        <f t="shared" si="5"/>
        <v>73838</v>
      </c>
      <c r="E18" s="43">
        <f t="shared" si="5"/>
        <v>96738</v>
      </c>
      <c r="F18" s="43">
        <f t="shared" si="5"/>
        <v>103341</v>
      </c>
      <c r="G18" s="43">
        <f t="shared" si="5"/>
        <v>95607</v>
      </c>
      <c r="H18" s="43">
        <f t="shared" si="5"/>
        <v>127339</v>
      </c>
      <c r="I18" s="43">
        <f t="shared" si="5"/>
        <v>167190</v>
      </c>
      <c r="J18" s="43">
        <f t="shared" si="5"/>
        <v>188177</v>
      </c>
      <c r="K18" s="43">
        <f t="shared" si="5"/>
        <v>194157</v>
      </c>
      <c r="L18" s="43">
        <f t="shared" si="5"/>
        <v>209267</v>
      </c>
    </row>
    <row r="19" spans="2:12" x14ac:dyDescent="0.25">
      <c r="B19" s="27" t="s">
        <v>90</v>
      </c>
      <c r="C19" s="30">
        <f t="shared" ref="C19:L19" si="6">C18/C5</f>
        <v>0.1799449916763721</v>
      </c>
      <c r="D19" s="30">
        <f t="shared" si="6"/>
        <v>0.18892951540723038</v>
      </c>
      <c r="E19" s="30">
        <f t="shared" si="6"/>
        <v>0.1702123915916085</v>
      </c>
      <c r="F19" s="30">
        <f t="shared" si="6"/>
        <v>0.17319362672391689</v>
      </c>
      <c r="G19" s="30">
        <f t="shared" si="6"/>
        <v>0.20503016253240891</v>
      </c>
      <c r="H19" s="30">
        <f t="shared" si="6"/>
        <v>0.18330782972708023</v>
      </c>
      <c r="I19" s="30">
        <f t="shared" si="6"/>
        <v>0.19076992592389741</v>
      </c>
      <c r="J19" s="30">
        <f t="shared" si="6"/>
        <v>0.209308585481641</v>
      </c>
      <c r="K19" s="30">
        <f t="shared" si="6"/>
        <v>0.20165451486259114</v>
      </c>
      <c r="L19" s="30">
        <f t="shared" si="6"/>
        <v>0.1979410131675651</v>
      </c>
    </row>
    <row r="21" spans="2:12" x14ac:dyDescent="0.25">
      <c r="B21" s="28" t="s">
        <v>11</v>
      </c>
      <c r="C21" s="54">
        <f>IFERROR(SUM('Data Sheet'!B27),0)</f>
        <v>3849</v>
      </c>
      <c r="D21" s="54">
        <f>IFERROR(SUM('Data Sheet'!C27),0)</f>
        <v>8052</v>
      </c>
      <c r="E21" s="54">
        <f>IFERROR(SUM('Data Sheet'!D27),0)</f>
        <v>16495</v>
      </c>
      <c r="F21" s="54">
        <f>IFERROR(SUM('Data Sheet'!E27),0)</f>
        <v>22027</v>
      </c>
      <c r="G21" s="54">
        <f>IFERROR(SUM('Data Sheet'!F27),0)</f>
        <v>21189</v>
      </c>
      <c r="H21" s="54">
        <f>IFERROR(SUM('Data Sheet'!G27),0)</f>
        <v>14584</v>
      </c>
      <c r="I21" s="54">
        <f>IFERROR(SUM('Data Sheet'!H27),0)</f>
        <v>19571</v>
      </c>
      <c r="J21" s="54">
        <f>IFERROR(SUM('Data Sheet'!I27),0)</f>
        <v>23118</v>
      </c>
      <c r="K21" s="54">
        <f>IFERROR(SUM('Data Sheet'!J27),0)</f>
        <v>24269</v>
      </c>
      <c r="L21" s="54">
        <f>IFERROR(SUM('Data Sheet'!K27),0)</f>
        <v>27061</v>
      </c>
    </row>
    <row r="22" spans="2:12" x14ac:dyDescent="0.25">
      <c r="B22" s="29" t="s">
        <v>91</v>
      </c>
      <c r="C22" s="30">
        <f t="shared" ref="C22:L22" si="7">C21/C5</f>
        <v>1.2663100337551077E-2</v>
      </c>
      <c r="D22" s="30">
        <f t="shared" si="7"/>
        <v>2.0602676915125261E-2</v>
      </c>
      <c r="E22" s="30">
        <f t="shared" si="7"/>
        <v>2.902327316363355E-2</v>
      </c>
      <c r="F22" s="30">
        <f t="shared" si="7"/>
        <v>3.6915996708447925E-2</v>
      </c>
      <c r="G22" s="30">
        <f t="shared" si="7"/>
        <v>4.5440021273538675E-2</v>
      </c>
      <c r="H22" s="30">
        <f t="shared" si="7"/>
        <v>2.0994050438119805E-2</v>
      </c>
      <c r="I22" s="30">
        <f t="shared" si="7"/>
        <v>2.2331229261657971E-2</v>
      </c>
      <c r="J22" s="30">
        <f t="shared" si="7"/>
        <v>2.5714066433010285E-2</v>
      </c>
      <c r="K22" s="30">
        <f t="shared" si="7"/>
        <v>2.5206165222990799E-2</v>
      </c>
      <c r="L22" s="30">
        <f t="shared" si="7"/>
        <v>2.5596399610676692E-2</v>
      </c>
    </row>
    <row r="23" spans="2:12" x14ac:dyDescent="0.25">
      <c r="C23" s="53"/>
      <c r="D23" s="53"/>
      <c r="E23" s="53"/>
      <c r="F23" s="53"/>
      <c r="G23" s="53"/>
      <c r="H23" s="53"/>
      <c r="I23" s="53"/>
      <c r="J23" s="53"/>
      <c r="K23" s="53"/>
      <c r="L23" s="53"/>
    </row>
    <row r="24" spans="2:12" x14ac:dyDescent="0.25">
      <c r="B24" s="28" t="s">
        <v>92</v>
      </c>
      <c r="C24" s="54">
        <f>IFERROR(SUM('Data Sheet'!B26),0)</f>
        <v>11646</v>
      </c>
      <c r="D24" s="54">
        <f>IFERROR(SUM('Data Sheet'!C26),0)</f>
        <v>16706</v>
      </c>
      <c r="E24" s="54">
        <f>IFERROR(SUM('Data Sheet'!D26),0)</f>
        <v>20934</v>
      </c>
      <c r="F24" s="54">
        <f>IFERROR(SUM('Data Sheet'!E26),0)</f>
        <v>22203</v>
      </c>
      <c r="G24" s="54">
        <f>IFERROR(SUM('Data Sheet'!F26),0)</f>
        <v>26572</v>
      </c>
      <c r="H24" s="54">
        <f>IFERROR(SUM('Data Sheet'!G26),0)</f>
        <v>29782</v>
      </c>
      <c r="I24" s="54">
        <f>IFERROR(SUM('Data Sheet'!H26),0)</f>
        <v>40303</v>
      </c>
      <c r="J24" s="54">
        <f>IFERROR(SUM('Data Sheet'!I26),0)</f>
        <v>50832</v>
      </c>
      <c r="K24" s="54">
        <f>IFERROR(SUM('Data Sheet'!J26),0)</f>
        <v>53136</v>
      </c>
      <c r="L24" s="54">
        <f>IFERROR(SUM('Data Sheet'!K26),0)</f>
        <v>57688</v>
      </c>
    </row>
    <row r="25" spans="2:12" x14ac:dyDescent="0.25">
      <c r="B25" s="29" t="s">
        <v>93</v>
      </c>
      <c r="C25" s="30">
        <f t="shared" ref="C25:L25" si="8">C24/C5</f>
        <v>3.8315008192029057E-2</v>
      </c>
      <c r="D25" s="30">
        <f t="shared" si="8"/>
        <v>4.2745693063100179E-2</v>
      </c>
      <c r="E25" s="30">
        <f t="shared" si="8"/>
        <v>3.6833779958017863E-2</v>
      </c>
      <c r="F25" s="30">
        <f t="shared" si="8"/>
        <v>3.721096267842508E-2</v>
      </c>
      <c r="G25" s="30">
        <f t="shared" si="8"/>
        <v>5.6983918319905125E-2</v>
      </c>
      <c r="H25" s="30">
        <f t="shared" si="8"/>
        <v>4.2871969977241089E-2</v>
      </c>
      <c r="I25" s="30">
        <f t="shared" si="8"/>
        <v>4.5987202132369384E-2</v>
      </c>
      <c r="J25" s="30">
        <f t="shared" si="8"/>
        <v>5.6540246774062587E-2</v>
      </c>
      <c r="K25" s="30">
        <f t="shared" si="8"/>
        <v>5.5187885586090855E-2</v>
      </c>
      <c r="L25" s="30">
        <f t="shared" si="8"/>
        <v>5.4565799517413138E-2</v>
      </c>
    </row>
    <row r="27" spans="2:12" x14ac:dyDescent="0.25">
      <c r="B27" s="42" t="s">
        <v>96</v>
      </c>
      <c r="C27" s="43">
        <f>IFERROR(C18-SUM(C21,C24),0)</f>
        <v>39200</v>
      </c>
      <c r="D27" s="43">
        <f t="shared" ref="D27:L27" si="9">IFERROR(D18-SUM(D21,D24),0)</f>
        <v>49080</v>
      </c>
      <c r="E27" s="43">
        <f t="shared" si="9"/>
        <v>59309</v>
      </c>
      <c r="F27" s="43">
        <f t="shared" si="9"/>
        <v>59111</v>
      </c>
      <c r="G27" s="43">
        <f t="shared" si="9"/>
        <v>47846</v>
      </c>
      <c r="H27" s="43">
        <f t="shared" si="9"/>
        <v>82973</v>
      </c>
      <c r="I27" s="43">
        <f t="shared" si="9"/>
        <v>107316</v>
      </c>
      <c r="J27" s="43">
        <f t="shared" si="9"/>
        <v>114227</v>
      </c>
      <c r="K27" s="43">
        <f t="shared" si="9"/>
        <v>116752</v>
      </c>
      <c r="L27" s="43">
        <f t="shared" si="9"/>
        <v>124518</v>
      </c>
    </row>
    <row r="28" spans="2:12" x14ac:dyDescent="0.25">
      <c r="B28" s="29" t="s">
        <v>97</v>
      </c>
      <c r="C28" s="30">
        <f t="shared" ref="C28:L28" si="10">C27/C5</f>
        <v>0.12896688314679194</v>
      </c>
      <c r="D28" s="30">
        <f t="shared" si="10"/>
        <v>0.12558114542900495</v>
      </c>
      <c r="E28" s="30">
        <f t="shared" si="10"/>
        <v>0.10435533846995708</v>
      </c>
      <c r="F28" s="30">
        <f t="shared" si="10"/>
        <v>9.9066667337043876E-2</v>
      </c>
      <c r="G28" s="30">
        <f t="shared" si="10"/>
        <v>0.1026062229389651</v>
      </c>
      <c r="H28" s="30">
        <f t="shared" si="10"/>
        <v>0.11944180931171933</v>
      </c>
      <c r="I28" s="30">
        <f t="shared" si="10"/>
        <v>0.12245149452987006</v>
      </c>
      <c r="J28" s="30">
        <f t="shared" si="10"/>
        <v>0.12705427227456811</v>
      </c>
      <c r="K28" s="30">
        <f t="shared" si="10"/>
        <v>0.12126046405350949</v>
      </c>
      <c r="L28" s="30">
        <f t="shared" si="10"/>
        <v>0.11777881403947527</v>
      </c>
    </row>
    <row r="30" spans="2:12" x14ac:dyDescent="0.25">
      <c r="B30" s="28" t="s">
        <v>94</v>
      </c>
      <c r="C30" s="54">
        <f>IFERROR(SUM('Data Sheet'!B29),0)</f>
        <v>10201</v>
      </c>
      <c r="D30" s="54">
        <f>IFERROR(SUM('Data Sheet'!C29),0)</f>
        <v>13346</v>
      </c>
      <c r="E30" s="54">
        <f>IFERROR(SUM('Data Sheet'!D29),0)</f>
        <v>15390</v>
      </c>
      <c r="F30" s="54">
        <f>IFERROR(SUM('Data Sheet'!E29),0)</f>
        <v>13726</v>
      </c>
      <c r="G30" s="54">
        <f>IFERROR(SUM('Data Sheet'!F29),0)</f>
        <v>1722</v>
      </c>
      <c r="H30" s="54">
        <f>IFERROR(SUM('Data Sheet'!G29),0)</f>
        <v>15970</v>
      </c>
      <c r="I30" s="54">
        <f>IFERROR(SUM('Data Sheet'!H29),0)</f>
        <v>20376</v>
      </c>
      <c r="J30" s="54">
        <f>IFERROR(SUM('Data Sheet'!I29),0)</f>
        <v>25707</v>
      </c>
      <c r="K30" s="54">
        <f>IFERROR(SUM('Data Sheet'!J29),0)</f>
        <v>25230</v>
      </c>
      <c r="L30" s="54">
        <f>IFERROR(SUM('Data Sheet'!K29),0)</f>
        <v>27552</v>
      </c>
    </row>
    <row r="31" spans="2:12" x14ac:dyDescent="0.25">
      <c r="B31" s="27" t="s">
        <v>95</v>
      </c>
      <c r="C31" s="30">
        <f t="shared" ref="C31:L31" si="11">C30/C5</f>
        <v>3.356099936174553E-2</v>
      </c>
      <c r="D31" s="30">
        <f t="shared" si="11"/>
        <v>3.4148450833241646E-2</v>
      </c>
      <c r="E31" s="30">
        <f t="shared" si="11"/>
        <v>2.707900418237771E-2</v>
      </c>
      <c r="F31" s="30">
        <f t="shared" si="11"/>
        <v>2.3003993772195769E-2</v>
      </c>
      <c r="G31" s="30">
        <f t="shared" si="11"/>
        <v>3.6928461292667705E-3</v>
      </c>
      <c r="H31" s="30">
        <f t="shared" si="11"/>
        <v>2.2989233783377215E-2</v>
      </c>
      <c r="I31" s="30">
        <f t="shared" si="11"/>
        <v>2.3249763805403036E-2</v>
      </c>
      <c r="J31" s="30">
        <f t="shared" si="11"/>
        <v>2.8593801617501316E-2</v>
      </c>
      <c r="K31" s="30">
        <f t="shared" si="11"/>
        <v>2.6204274942356828E-2</v>
      </c>
      <c r="L31" s="30">
        <f t="shared" si="11"/>
        <v>2.6060825618911501E-2</v>
      </c>
    </row>
    <row r="34" spans="2:13" x14ac:dyDescent="0.25">
      <c r="B34" s="42" t="s">
        <v>98</v>
      </c>
      <c r="C34" s="43">
        <f>D27-D30</f>
        <v>35734</v>
      </c>
      <c r="D34" s="43">
        <f t="shared" ref="D34:L34" si="12">E27-E30</f>
        <v>43919</v>
      </c>
      <c r="E34" s="43">
        <f t="shared" si="12"/>
        <v>45385</v>
      </c>
      <c r="F34" s="43">
        <f t="shared" si="12"/>
        <v>46124</v>
      </c>
      <c r="G34" s="43">
        <f t="shared" si="12"/>
        <v>67003</v>
      </c>
      <c r="H34" s="43">
        <f t="shared" si="12"/>
        <v>86940</v>
      </c>
      <c r="I34" s="43">
        <f t="shared" si="12"/>
        <v>88520</v>
      </c>
      <c r="J34" s="43">
        <f t="shared" si="12"/>
        <v>91522</v>
      </c>
      <c r="K34" s="43">
        <f t="shared" si="12"/>
        <v>96966</v>
      </c>
      <c r="L34" s="43">
        <f t="shared" si="12"/>
        <v>0</v>
      </c>
    </row>
    <row r="35" spans="2:13" x14ac:dyDescent="0.25">
      <c r="B35" s="29" t="s">
        <v>99</v>
      </c>
      <c r="C35" s="30">
        <f t="shared" ref="C35:L35" si="13">C34/C5</f>
        <v>0.11756384189712916</v>
      </c>
      <c r="D35" s="30">
        <f t="shared" si="13"/>
        <v>0.11237567901582046</v>
      </c>
      <c r="E35" s="30">
        <f t="shared" si="13"/>
        <v>7.9855789786693457E-2</v>
      </c>
      <c r="F35" s="30">
        <f t="shared" si="13"/>
        <v>7.7301195450149907E-2</v>
      </c>
      <c r="G35" s="30">
        <f t="shared" si="13"/>
        <v>0.14368859999957109</v>
      </c>
      <c r="H35" s="30">
        <f t="shared" si="13"/>
        <v>0.12515240983887382</v>
      </c>
      <c r="I35" s="30">
        <f t="shared" si="13"/>
        <v>0.10100456871094803</v>
      </c>
      <c r="J35" s="30">
        <f t="shared" si="13"/>
        <v>0.10179958422363385</v>
      </c>
      <c r="K35" s="30">
        <f t="shared" si="13"/>
        <v>0.10071041316133857</v>
      </c>
      <c r="L35" s="30">
        <f t="shared" si="13"/>
        <v>0</v>
      </c>
    </row>
    <row r="39" spans="2:13" x14ac:dyDescent="0.25">
      <c r="B39" s="28" t="s">
        <v>100</v>
      </c>
      <c r="C39" s="34">
        <f>IFERROR('Data Sheet'!B93,0)</f>
        <v>1387.22</v>
      </c>
      <c r="D39" s="34">
        <f>IFERROR('Data Sheet'!C93,0)</f>
        <v>1351.39</v>
      </c>
      <c r="E39" s="34">
        <f>IFERROR('Data Sheet'!D93,0)</f>
        <v>1352.26</v>
      </c>
      <c r="F39" s="34">
        <f>IFERROR('Data Sheet'!E93,0)</f>
        <v>1352.37</v>
      </c>
      <c r="G39" s="34">
        <f>IFERROR('Data Sheet'!F93,0)</f>
        <v>1267.8900000000001</v>
      </c>
      <c r="H39" s="34">
        <f>IFERROR('Data Sheet'!G93,0)</f>
        <v>1352.98</v>
      </c>
      <c r="I39" s="34">
        <f>IFERROR('Data Sheet'!H93,0)</f>
        <v>1353.12</v>
      </c>
      <c r="J39" s="34">
        <f>IFERROR('Data Sheet'!I93,0)</f>
        <v>1353.14</v>
      </c>
      <c r="K39" s="34">
        <f>IFERROR('Data Sheet'!J93,0)</f>
        <v>1353.24</v>
      </c>
      <c r="L39" s="34">
        <f>IFERROR('Data Sheet'!K93,0)</f>
        <v>1353.25</v>
      </c>
    </row>
    <row r="41" spans="2:13" x14ac:dyDescent="0.25">
      <c r="B41" s="28" t="s">
        <v>101</v>
      </c>
      <c r="C41" s="34">
        <f>IFERROR(C34/C39,0)</f>
        <v>25.759432534133015</v>
      </c>
      <c r="D41" s="34">
        <f t="shared" ref="D41:L41" si="14">IFERROR(D34/D39,0)</f>
        <v>32.499130524866985</v>
      </c>
      <c r="E41" s="34">
        <f t="shared" si="14"/>
        <v>33.562332687500927</v>
      </c>
      <c r="F41" s="34">
        <f t="shared" si="14"/>
        <v>34.106050858862595</v>
      </c>
      <c r="G41" s="34">
        <f t="shared" si="14"/>
        <v>52.846067087838847</v>
      </c>
      <c r="H41" s="34">
        <f t="shared" si="14"/>
        <v>64.258156070304068</v>
      </c>
      <c r="I41" s="34">
        <f t="shared" si="14"/>
        <v>65.419179378030037</v>
      </c>
      <c r="J41" s="34">
        <f t="shared" si="14"/>
        <v>67.636755989771927</v>
      </c>
      <c r="K41" s="34">
        <f t="shared" si="14"/>
        <v>71.65469539771216</v>
      </c>
      <c r="L41" s="34">
        <f t="shared" si="14"/>
        <v>0</v>
      </c>
    </row>
    <row r="42" spans="2:13" x14ac:dyDescent="0.25">
      <c r="C42" s="34"/>
    </row>
    <row r="43" spans="2:13" x14ac:dyDescent="0.25">
      <c r="B43" s="28" t="s">
        <v>102</v>
      </c>
      <c r="C43" s="34">
        <f>IFERROR('Data Sheet'!B31/DATAs!C39,0)</f>
        <v>2.346347371000995</v>
      </c>
      <c r="D43" s="34">
        <f>IFERROR('Data Sheet'!C31/DATAs!D39,0)</f>
        <v>2.6292928022258559</v>
      </c>
      <c r="E43" s="34">
        <f>IFERROR('Data Sheet'!D31/DATAs!E39,0)</f>
        <v>2.8484906748702175</v>
      </c>
      <c r="F43" s="34">
        <f>IFERROR('Data Sheet'!E31/DATAs!F39,0)</f>
        <v>3.0467623505401633</v>
      </c>
      <c r="G43" s="34">
        <f>IFERROR('Data Sheet'!F31/DATAs!G39,0)</f>
        <v>3.5582739827587564</v>
      </c>
      <c r="H43" s="34">
        <f>IFERROR('Data Sheet'!G31/DATAs!H39,0)</f>
        <v>4.0000591287380445</v>
      </c>
      <c r="I43" s="34">
        <f>IFERROR('Data Sheet'!H31/DATAs!I39,0)</f>
        <v>4.5002660517914155</v>
      </c>
      <c r="J43" s="34">
        <f>IFERROR('Data Sheet'!I31/DATAs!J39,0)</f>
        <v>5.0002217065492109</v>
      </c>
      <c r="K43" s="34">
        <f>IFERROR('Data Sheet'!J31/DATAs!K39,0)</f>
        <v>5.4998374272117294</v>
      </c>
      <c r="L43" s="34">
        <f>IFERROR('Data Sheet'!K31/DATAs!L39,0)</f>
        <v>5.9997783114723813</v>
      </c>
    </row>
    <row r="45" spans="2:13" x14ac:dyDescent="0.25">
      <c r="B45" s="29" t="s">
        <v>103</v>
      </c>
      <c r="C45" s="56">
        <f>IFERROR(C43/C41,)</f>
        <v>9.1086920020148884E-2</v>
      </c>
      <c r="D45" s="56">
        <f t="shared" ref="D45:L45" si="15">IFERROR(D43/D41,)</f>
        <v>8.0903481408957395E-2</v>
      </c>
      <c r="E45" s="56">
        <f t="shared" si="15"/>
        <v>8.4871653630053986E-2</v>
      </c>
      <c r="F45" s="56">
        <f t="shared" si="15"/>
        <v>8.9332018038331448E-2</v>
      </c>
      <c r="G45" s="56">
        <f t="shared" si="15"/>
        <v>6.7332805993761471E-2</v>
      </c>
      <c r="H45" s="56">
        <f t="shared" si="15"/>
        <v>6.2249827467218764E-2</v>
      </c>
      <c r="I45" s="56">
        <f t="shared" si="15"/>
        <v>6.8791233619521011E-2</v>
      </c>
      <c r="J45" s="56">
        <f t="shared" si="15"/>
        <v>7.3927580253928024E-2</v>
      </c>
      <c r="K45" s="56">
        <f t="shared" si="15"/>
        <v>7.6754738774415784E-2</v>
      </c>
      <c r="L45" s="56">
        <f t="shared" si="15"/>
        <v>0</v>
      </c>
      <c r="M45" s="30"/>
    </row>
    <row r="48" spans="2:13" x14ac:dyDescent="0.25">
      <c r="B48" s="28" t="s">
        <v>104</v>
      </c>
      <c r="C48" s="55">
        <f>IFERROR(1-C45,)</f>
        <v>0.90891307997985116</v>
      </c>
      <c r="D48" s="55">
        <f t="shared" ref="D48:L48" si="16">IFERROR(1-D45,)</f>
        <v>0.91909651859104258</v>
      </c>
      <c r="E48" s="55">
        <f t="shared" si="16"/>
        <v>0.915128346369946</v>
      </c>
      <c r="F48" s="55">
        <f t="shared" si="16"/>
        <v>0.91066798196166854</v>
      </c>
      <c r="G48" s="55">
        <f t="shared" si="16"/>
        <v>0.93266719400623854</v>
      </c>
      <c r="H48" s="55">
        <f t="shared" si="16"/>
        <v>0.93775017253278126</v>
      </c>
      <c r="I48" s="55">
        <f t="shared" si="16"/>
        <v>0.931208766380479</v>
      </c>
      <c r="J48" s="55">
        <f t="shared" si="16"/>
        <v>0.92607241974607202</v>
      </c>
      <c r="K48" s="55">
        <f t="shared" si="16"/>
        <v>0.92324526122558426</v>
      </c>
      <c r="L48" s="55">
        <f t="shared" si="16"/>
        <v>1</v>
      </c>
    </row>
    <row r="51" spans="1:12" x14ac:dyDescent="0.25">
      <c r="A51" s="27" t="s">
        <v>105</v>
      </c>
      <c r="B51" s="36" t="s">
        <v>40</v>
      </c>
      <c r="C51" s="36"/>
      <c r="D51" s="37"/>
      <c r="E51" s="37"/>
      <c r="F51" s="37"/>
      <c r="G51" s="37"/>
      <c r="H51" s="37"/>
      <c r="I51" s="37"/>
      <c r="J51" s="37"/>
      <c r="K51" s="37"/>
      <c r="L51" s="37"/>
    </row>
    <row r="53" spans="1:12" x14ac:dyDescent="0.25">
      <c r="B53" s="27" t="s">
        <v>106</v>
      </c>
      <c r="C53" s="38">
        <f>IFERROR('Data Sheet'!B57,0)</f>
        <v>2959</v>
      </c>
      <c r="D53" s="38">
        <f>IFERROR('Data Sheet'!C57,0)</f>
        <v>5922</v>
      </c>
      <c r="E53" s="38">
        <f>IFERROR('Data Sheet'!D57,0)</f>
        <v>5926</v>
      </c>
      <c r="F53" s="38">
        <f>IFERROR('Data Sheet'!E57,0)</f>
        <v>6339</v>
      </c>
      <c r="G53" s="38">
        <f>IFERROR('Data Sheet'!F57,0)</f>
        <v>6445</v>
      </c>
      <c r="H53" s="38">
        <f>IFERROR('Data Sheet'!G57,0)</f>
        <v>6765</v>
      </c>
      <c r="I53" s="38">
        <f>IFERROR('Data Sheet'!H57,0)</f>
        <v>6766</v>
      </c>
      <c r="J53" s="38">
        <f>IFERROR('Data Sheet'!I57,0)</f>
        <v>6766</v>
      </c>
      <c r="K53" s="38">
        <f>IFERROR('Data Sheet'!J57,0)</f>
        <v>13532</v>
      </c>
      <c r="L53" s="38">
        <f>IFERROR('Data Sheet'!K57,0)</f>
        <v>13532</v>
      </c>
    </row>
    <row r="54" spans="1:12" x14ac:dyDescent="0.25">
      <c r="B54" s="27" t="s">
        <v>107</v>
      </c>
      <c r="C54" s="38">
        <f>IFERROR('Data Sheet'!B58,0)</f>
        <v>260750</v>
      </c>
      <c r="D54" s="38">
        <f>IFERROR('Data Sheet'!C58,0)</f>
        <v>287584</v>
      </c>
      <c r="E54" s="38">
        <f>IFERROR('Data Sheet'!D58,0)</f>
        <v>381186</v>
      </c>
      <c r="F54" s="38">
        <f>IFERROR('Data Sheet'!E58,0)</f>
        <v>442827</v>
      </c>
      <c r="G54" s="38">
        <f>IFERROR('Data Sheet'!F58,0)</f>
        <v>693727</v>
      </c>
      <c r="H54" s="38">
        <f>IFERROR('Data Sheet'!G58,0)</f>
        <v>772720</v>
      </c>
      <c r="I54" s="38">
        <f>IFERROR('Data Sheet'!H58,0)</f>
        <v>709106</v>
      </c>
      <c r="J54" s="38">
        <f>IFERROR('Data Sheet'!I58,0)</f>
        <v>786715</v>
      </c>
      <c r="K54" s="38">
        <f>IFERROR('Data Sheet'!J58,0)</f>
        <v>829668</v>
      </c>
      <c r="L54" s="38">
        <f>IFERROR('Data Sheet'!K58,0)</f>
        <v>890498</v>
      </c>
    </row>
    <row r="55" spans="1:12" x14ac:dyDescent="0.25">
      <c r="B55" s="27" t="s">
        <v>108</v>
      </c>
      <c r="C55" s="38">
        <f>IFERROR('Data Sheet'!B59,0)</f>
        <v>217475</v>
      </c>
      <c r="D55" s="38">
        <f>IFERROR('Data Sheet'!C59,0)</f>
        <v>239843</v>
      </c>
      <c r="E55" s="38">
        <f>IFERROR('Data Sheet'!D59,0)</f>
        <v>307714</v>
      </c>
      <c r="F55" s="38">
        <f>IFERROR('Data Sheet'!E59,0)</f>
        <v>355133</v>
      </c>
      <c r="G55" s="38">
        <f>IFERROR('Data Sheet'!F59,0)</f>
        <v>278962</v>
      </c>
      <c r="H55" s="38">
        <f>IFERROR('Data Sheet'!G59,0)</f>
        <v>319158</v>
      </c>
      <c r="I55" s="38">
        <f>IFERROR('Data Sheet'!H59,0)</f>
        <v>451664</v>
      </c>
      <c r="J55" s="38">
        <f>IFERROR('Data Sheet'!I59,0)</f>
        <v>350719</v>
      </c>
      <c r="K55" s="38">
        <f>IFERROR('Data Sheet'!J59,0)</f>
        <v>374313</v>
      </c>
      <c r="L55" s="38">
        <f>IFERROR('Data Sheet'!K59,0)</f>
        <v>398000</v>
      </c>
    </row>
    <row r="56" spans="1:12" x14ac:dyDescent="0.25">
      <c r="B56" s="27" t="s">
        <v>109</v>
      </c>
      <c r="C56" s="38">
        <f>IFERROR('Data Sheet'!B60,0)</f>
        <v>225618</v>
      </c>
      <c r="D56" s="38">
        <f>IFERROR('Data Sheet'!C60,0)</f>
        <v>277924</v>
      </c>
      <c r="E56" s="38">
        <f>IFERROR('Data Sheet'!D60,0)</f>
        <v>302804</v>
      </c>
      <c r="F56" s="38">
        <f>IFERROR('Data Sheet'!E60,0)</f>
        <v>358716</v>
      </c>
      <c r="G56" s="38">
        <f>IFERROR('Data Sheet'!F60,0)</f>
        <v>340931</v>
      </c>
      <c r="H56" s="38">
        <f>IFERROR('Data Sheet'!G60,0)</f>
        <v>399979</v>
      </c>
      <c r="I56" s="38">
        <f>IFERROR('Data Sheet'!H60,0)</f>
        <v>438346</v>
      </c>
      <c r="J56" s="38">
        <f>IFERROR('Data Sheet'!I60,0)</f>
        <v>610848</v>
      </c>
      <c r="K56" s="38">
        <f>IFERROR('Data Sheet'!J60,0)</f>
        <v>732200</v>
      </c>
      <c r="L56" s="38">
        <f>IFERROR('Data Sheet'!K60,0)</f>
        <v>876110</v>
      </c>
    </row>
    <row r="57" spans="1:12" x14ac:dyDescent="0.25">
      <c r="B57" s="58" t="s">
        <v>110</v>
      </c>
      <c r="C57" s="50">
        <f>IFERROR('Data Sheet'!B61,0)</f>
        <v>706802</v>
      </c>
      <c r="D57" s="50">
        <f>IFERROR('Data Sheet'!C61,0)</f>
        <v>811273</v>
      </c>
      <c r="E57" s="50">
        <f>IFERROR('Data Sheet'!D61,0)</f>
        <v>997630</v>
      </c>
      <c r="F57" s="50">
        <f>IFERROR('Data Sheet'!E61,0)</f>
        <v>1163015</v>
      </c>
      <c r="G57" s="50">
        <f>IFERROR('Data Sheet'!F61,0)</f>
        <v>1320065</v>
      </c>
      <c r="H57" s="50">
        <f>IFERROR('Data Sheet'!G61,0)</f>
        <v>1498622</v>
      </c>
      <c r="I57" s="50">
        <f>IFERROR('Data Sheet'!H61,0)</f>
        <v>1605882</v>
      </c>
      <c r="J57" s="50">
        <f>IFERROR('Data Sheet'!I61,0)</f>
        <v>1755048</v>
      </c>
      <c r="K57" s="50">
        <f>IFERROR('Data Sheet'!J61,0)</f>
        <v>1949713</v>
      </c>
      <c r="L57" s="50">
        <f>IFERROR('Data Sheet'!K61,0)</f>
        <v>2178140</v>
      </c>
    </row>
    <row r="60" spans="1:12" x14ac:dyDescent="0.25">
      <c r="B60" s="27" t="s">
        <v>111</v>
      </c>
      <c r="C60" s="38">
        <f>IFERROR('Data Sheet'!B62,0)</f>
        <v>198526</v>
      </c>
      <c r="D60" s="38">
        <f>IFERROR('Data Sheet'!C62,0)</f>
        <v>403885</v>
      </c>
      <c r="E60" s="38">
        <f>IFERROR('Data Sheet'!D62,0)</f>
        <v>398374</v>
      </c>
      <c r="F60" s="38">
        <f>IFERROR('Data Sheet'!E62,0)</f>
        <v>532658</v>
      </c>
      <c r="G60" s="38">
        <f>IFERROR('Data Sheet'!F62,0)</f>
        <v>541258</v>
      </c>
      <c r="H60" s="38">
        <f>IFERROR('Data Sheet'!G62,0)</f>
        <v>627798</v>
      </c>
      <c r="I60" s="38">
        <f>IFERROR('Data Sheet'!H62,0)</f>
        <v>724805</v>
      </c>
      <c r="J60" s="38">
        <f>IFERROR('Data Sheet'!I62,0)</f>
        <v>779985</v>
      </c>
      <c r="K60" s="38">
        <f>IFERROR('Data Sheet'!J62,0)</f>
        <v>999393</v>
      </c>
      <c r="L60" s="38">
        <f>IFERROR('Data Sheet'!K62,0)</f>
        <v>1170194</v>
      </c>
    </row>
    <row r="61" spans="1:12" x14ac:dyDescent="0.25">
      <c r="B61" s="27" t="s">
        <v>112</v>
      </c>
      <c r="C61" s="38">
        <f>IFERROR('Data Sheet'!B63,0)</f>
        <v>324837</v>
      </c>
      <c r="D61" s="38">
        <f>IFERROR('Data Sheet'!C63,0)</f>
        <v>187022</v>
      </c>
      <c r="E61" s="38">
        <f>IFERROR('Data Sheet'!D63,0)</f>
        <v>179463</v>
      </c>
      <c r="F61" s="38">
        <f>IFERROR('Data Sheet'!E63,0)</f>
        <v>109106</v>
      </c>
      <c r="G61" s="38">
        <f>IFERROR('Data Sheet'!F63,0)</f>
        <v>125953</v>
      </c>
      <c r="H61" s="38">
        <f>IFERROR('Data Sheet'!G63,0)</f>
        <v>172506</v>
      </c>
      <c r="I61" s="38">
        <f>IFERROR('Data Sheet'!H63,0)</f>
        <v>293752</v>
      </c>
      <c r="J61" s="38">
        <f>IFERROR('Data Sheet'!I63,0)</f>
        <v>338855</v>
      </c>
      <c r="K61" s="38">
        <f>IFERROR('Data Sheet'!J63,0)</f>
        <v>262358</v>
      </c>
      <c r="L61" s="38">
        <f>IFERROR('Data Sheet'!K63,0)</f>
        <v>192287</v>
      </c>
    </row>
    <row r="62" spans="1:12" x14ac:dyDescent="0.25">
      <c r="B62" s="27" t="s">
        <v>119</v>
      </c>
      <c r="C62" s="38">
        <f>IFERROR('Data Sheet'!B64,0)</f>
        <v>82899</v>
      </c>
      <c r="D62" s="38">
        <f>IFERROR('Data Sheet'!C64,0)</f>
        <v>82862</v>
      </c>
      <c r="E62" s="38">
        <f>IFERROR('Data Sheet'!D64,0)</f>
        <v>235635</v>
      </c>
      <c r="F62" s="38">
        <f>IFERROR('Data Sheet'!E64,0)</f>
        <v>276767</v>
      </c>
      <c r="G62" s="38">
        <f>IFERROR('Data Sheet'!F64,0)</f>
        <v>364828</v>
      </c>
      <c r="H62" s="38">
        <f>IFERROR('Data Sheet'!G64,0)</f>
        <v>394264</v>
      </c>
      <c r="I62" s="38">
        <f>IFERROR('Data Sheet'!H64,0)</f>
        <v>235560</v>
      </c>
      <c r="J62" s="38">
        <f>IFERROR('Data Sheet'!I64,0)</f>
        <v>225672</v>
      </c>
      <c r="K62" s="38">
        <f>IFERROR('Data Sheet'!J64,0)</f>
        <v>242381</v>
      </c>
      <c r="L62" s="38">
        <f>IFERROR('Data Sheet'!K64,0)</f>
        <v>248332</v>
      </c>
    </row>
    <row r="63" spans="1:12" x14ac:dyDescent="0.25">
      <c r="B63" s="27" t="s">
        <v>113</v>
      </c>
      <c r="C63" s="38">
        <f>IFERROR('Data Sheet'!B65-SUM('Data Sheet'!B67:B69),0)</f>
        <v>40389</v>
      </c>
      <c r="D63" s="38">
        <f>IFERROR('Data Sheet'!C65-SUM('Data Sheet'!C67:C69),0)</f>
        <v>54857</v>
      </c>
      <c r="E63" s="38">
        <f>IFERROR('Data Sheet'!D65-SUM('Data Sheet'!D67:D69),0)</f>
        <v>75427</v>
      </c>
      <c r="F63" s="38">
        <f>IFERROR('Data Sheet'!E65-SUM('Data Sheet'!E67:E69),0)</f>
        <v>120005</v>
      </c>
      <c r="G63" s="38">
        <f>IFERROR('Data Sheet'!F65-SUM('Data Sheet'!F67:F69),0)</f>
        <v>169943</v>
      </c>
      <c r="H63" s="38">
        <f>IFERROR('Data Sheet'!G65-SUM('Data Sheet'!G67:G69),0)</f>
        <v>136458</v>
      </c>
      <c r="I63" s="38">
        <f>IFERROR('Data Sheet'!H65-SUM('Data Sheet'!H67:H69),0)</f>
        <v>114645</v>
      </c>
      <c r="J63" s="38">
        <f>IFERROR('Data Sheet'!I65-SUM('Data Sheet'!I67:I69),0)</f>
        <v>128913</v>
      </c>
      <c r="K63" s="38">
        <f>IFERROR('Data Sheet'!J65-SUM('Data Sheet'!J67:J69),0)</f>
        <v>150896</v>
      </c>
      <c r="L63" s="38">
        <f>IFERROR('Data Sheet'!K65-SUM('Data Sheet'!K67:K69),0)</f>
        <v>195918</v>
      </c>
    </row>
    <row r="64" spans="1:12" x14ac:dyDescent="0.25">
      <c r="B64" s="28" t="s">
        <v>150</v>
      </c>
      <c r="C64" s="50">
        <f>SUM(C60:C63)</f>
        <v>646651</v>
      </c>
      <c r="D64" s="50">
        <f t="shared" ref="D64:G64" si="17">SUM(D60:D63)</f>
        <v>728626</v>
      </c>
      <c r="E64" s="50">
        <f t="shared" si="17"/>
        <v>888899</v>
      </c>
      <c r="F64" s="50">
        <f t="shared" si="17"/>
        <v>1038536</v>
      </c>
      <c r="G64" s="50">
        <f t="shared" si="17"/>
        <v>1201982</v>
      </c>
      <c r="H64" s="50">
        <f t="shared" ref="H64" si="18">SUM(H60:H63)</f>
        <v>1331026</v>
      </c>
      <c r="I64" s="50">
        <f t="shared" ref="I64" si="19">SUM(I60:I63)</f>
        <v>1368762</v>
      </c>
      <c r="J64" s="50">
        <f t="shared" ref="J64:K64" si="20">SUM(J60:J63)</f>
        <v>1473425</v>
      </c>
      <c r="K64" s="50">
        <f t="shared" si="20"/>
        <v>1655028</v>
      </c>
      <c r="L64" s="50">
        <f t="shared" ref="L64" si="21">SUM(L60:L63)</f>
        <v>1806731</v>
      </c>
    </row>
    <row r="67" spans="2:13" x14ac:dyDescent="0.25">
      <c r="B67" s="27" t="s">
        <v>114</v>
      </c>
      <c r="C67" s="38">
        <f>IFERROR('Data Sheet'!B67,0)</f>
        <v>8177</v>
      </c>
      <c r="D67" s="38">
        <f>IFERROR('Data Sheet'!C67,0)</f>
        <v>17555</v>
      </c>
      <c r="E67" s="38">
        <f>IFERROR('Data Sheet'!D67,0)</f>
        <v>30089</v>
      </c>
      <c r="F67" s="38">
        <f>IFERROR('Data Sheet'!E67,0)</f>
        <v>19656</v>
      </c>
      <c r="G67" s="38">
        <f>IFERROR('Data Sheet'!F67,0)</f>
        <v>19014</v>
      </c>
      <c r="H67" s="38">
        <f>IFERROR('Data Sheet'!G67,0)</f>
        <v>23640</v>
      </c>
      <c r="I67" s="38">
        <f>IFERROR('Data Sheet'!H67,0)</f>
        <v>28448</v>
      </c>
      <c r="J67" s="38">
        <f>IFERROR('Data Sheet'!I67,0)</f>
        <v>31628</v>
      </c>
      <c r="K67" s="38">
        <f>IFERROR('Data Sheet'!J67,0)</f>
        <v>42121</v>
      </c>
      <c r="L67" s="38">
        <f>IFERROR('Data Sheet'!K67,0)</f>
        <v>58491</v>
      </c>
    </row>
    <row r="68" spans="2:13" x14ac:dyDescent="0.25">
      <c r="B68" s="27" t="s">
        <v>115</v>
      </c>
      <c r="C68" s="38">
        <f>IFERROR('Data Sheet'!B68,0)</f>
        <v>48951</v>
      </c>
      <c r="D68" s="38">
        <f>IFERROR('Data Sheet'!C68,0)</f>
        <v>60837</v>
      </c>
      <c r="E68" s="38">
        <f>IFERROR('Data Sheet'!D68,0)</f>
        <v>67561</v>
      </c>
      <c r="F68" s="38">
        <f>IFERROR('Data Sheet'!E68,0)</f>
        <v>73903</v>
      </c>
      <c r="G68" s="38">
        <f>IFERROR('Data Sheet'!F68,0)</f>
        <v>81672</v>
      </c>
      <c r="H68" s="38">
        <f>IFERROR('Data Sheet'!G68,0)</f>
        <v>107778</v>
      </c>
      <c r="I68" s="38">
        <f>IFERROR('Data Sheet'!H68,0)</f>
        <v>140008</v>
      </c>
      <c r="J68" s="38">
        <f>IFERROR('Data Sheet'!I68,0)</f>
        <v>152770</v>
      </c>
      <c r="K68" s="38">
        <f>IFERROR('Data Sheet'!J68,0)</f>
        <v>146062</v>
      </c>
      <c r="L68" s="38">
        <f>IFERROR('Data Sheet'!K68,0)</f>
        <v>166941</v>
      </c>
    </row>
    <row r="69" spans="2:13" x14ac:dyDescent="0.25">
      <c r="B69" s="27" t="s">
        <v>116</v>
      </c>
      <c r="C69" s="38">
        <f>IFERROR('Data Sheet'!B69,0)</f>
        <v>3023</v>
      </c>
      <c r="D69" s="38">
        <f>IFERROR('Data Sheet'!C69,0)</f>
        <v>4255</v>
      </c>
      <c r="E69" s="38">
        <f>IFERROR('Data Sheet'!D69,0)</f>
        <v>11081</v>
      </c>
      <c r="F69" s="38">
        <f>IFERROR('Data Sheet'!E69,0)</f>
        <v>30920</v>
      </c>
      <c r="G69" s="38">
        <f>IFERROR('Data Sheet'!F69,0)</f>
        <v>17397</v>
      </c>
      <c r="H69" s="38">
        <f>IFERROR('Data Sheet'!G69,0)</f>
        <v>36178</v>
      </c>
      <c r="I69" s="38">
        <f>IFERROR('Data Sheet'!H69,0)</f>
        <v>68664</v>
      </c>
      <c r="J69" s="38">
        <f>IFERROR('Data Sheet'!I69,0)</f>
        <v>97225</v>
      </c>
      <c r="K69" s="38">
        <f>IFERROR('Data Sheet'!J69,0)</f>
        <v>106502</v>
      </c>
      <c r="L69" s="38">
        <f>IFERROR('Data Sheet'!K69,0)</f>
        <v>145977</v>
      </c>
    </row>
    <row r="70" spans="2:13" x14ac:dyDescent="0.25">
      <c r="B70" s="28" t="s">
        <v>117</v>
      </c>
      <c r="C70" s="50">
        <f>SUM(C67:C69)</f>
        <v>60151</v>
      </c>
      <c r="D70" s="50">
        <f>SUM(D67:D69)</f>
        <v>82647</v>
      </c>
      <c r="E70" s="50">
        <f t="shared" ref="E70:L70" si="22">SUM(E67:E69)</f>
        <v>108731</v>
      </c>
      <c r="F70" s="50">
        <f t="shared" si="22"/>
        <v>124479</v>
      </c>
      <c r="G70" s="50">
        <f t="shared" si="22"/>
        <v>118083</v>
      </c>
      <c r="H70" s="50">
        <f t="shared" si="22"/>
        <v>167596</v>
      </c>
      <c r="I70" s="50">
        <f t="shared" si="22"/>
        <v>237120</v>
      </c>
      <c r="J70" s="50">
        <f t="shared" si="22"/>
        <v>281623</v>
      </c>
      <c r="K70" s="50">
        <f t="shared" si="22"/>
        <v>294685</v>
      </c>
      <c r="L70" s="50">
        <f t="shared" si="22"/>
        <v>371409</v>
      </c>
    </row>
    <row r="73" spans="2:13" x14ac:dyDescent="0.25">
      <c r="B73" s="28" t="s">
        <v>118</v>
      </c>
      <c r="C73" s="50">
        <f>IFERROR(SUM(C70,C64),0)</f>
        <v>706802</v>
      </c>
      <c r="D73" s="50">
        <f t="shared" ref="D73:L73" si="23">IFERROR(SUM(D70,D64),0)</f>
        <v>811273</v>
      </c>
      <c r="E73" s="50">
        <f t="shared" si="23"/>
        <v>997630</v>
      </c>
      <c r="F73" s="50">
        <f t="shared" si="23"/>
        <v>1163015</v>
      </c>
      <c r="G73" s="50">
        <f t="shared" si="23"/>
        <v>1320065</v>
      </c>
      <c r="H73" s="50">
        <f t="shared" si="23"/>
        <v>1498622</v>
      </c>
      <c r="I73" s="50">
        <f t="shared" si="23"/>
        <v>1605882</v>
      </c>
      <c r="J73" s="50">
        <f t="shared" si="23"/>
        <v>1755048</v>
      </c>
      <c r="K73" s="50">
        <f t="shared" si="23"/>
        <v>1949713</v>
      </c>
      <c r="L73" s="50">
        <f t="shared" si="23"/>
        <v>2178140</v>
      </c>
      <c r="M73" s="38"/>
    </row>
    <row r="74" spans="2:13" x14ac:dyDescent="0.25">
      <c r="D74" s="38"/>
      <c r="E74" s="38"/>
      <c r="F74" s="38"/>
      <c r="G74" s="38"/>
      <c r="H74" s="38"/>
      <c r="I74" s="38"/>
      <c r="J74" s="38"/>
      <c r="K74" s="38"/>
      <c r="L74" s="38"/>
    </row>
    <row r="75" spans="2:13" x14ac:dyDescent="0.25">
      <c r="B75" s="28" t="s">
        <v>120</v>
      </c>
      <c r="C75" s="51" t="b">
        <f>C73=C57</f>
        <v>1</v>
      </c>
      <c r="D75" s="51" t="b">
        <f t="shared" ref="D75:L75" si="24">D73=D57</f>
        <v>1</v>
      </c>
      <c r="E75" s="51" t="b">
        <f t="shared" si="24"/>
        <v>1</v>
      </c>
      <c r="F75" s="51" t="b">
        <f t="shared" si="24"/>
        <v>1</v>
      </c>
      <c r="G75" s="51" t="b">
        <f t="shared" si="24"/>
        <v>1</v>
      </c>
      <c r="H75" s="51" t="b">
        <f t="shared" si="24"/>
        <v>1</v>
      </c>
      <c r="I75" s="51" t="b">
        <f t="shared" si="24"/>
        <v>1</v>
      </c>
      <c r="J75" s="51" t="b">
        <f t="shared" si="24"/>
        <v>1</v>
      </c>
      <c r="K75" s="51" t="b">
        <f t="shared" si="24"/>
        <v>1</v>
      </c>
      <c r="L75" s="51" t="b">
        <f t="shared" si="24"/>
        <v>1</v>
      </c>
    </row>
    <row r="78" spans="2:13" x14ac:dyDescent="0.25">
      <c r="B78" s="36" t="s">
        <v>142</v>
      </c>
      <c r="C78" s="36"/>
      <c r="D78" s="37"/>
      <c r="E78" s="37"/>
      <c r="F78" s="37"/>
      <c r="G78" s="37"/>
      <c r="H78" s="37"/>
      <c r="I78" s="37"/>
      <c r="J78" s="37"/>
      <c r="K78" s="37"/>
      <c r="L78" s="37"/>
    </row>
    <row r="80" spans="2:13" x14ac:dyDescent="0.25">
      <c r="B80" s="28" t="s">
        <v>143</v>
      </c>
    </row>
    <row r="81" spans="2:12" x14ac:dyDescent="0.25">
      <c r="B81" s="27" t="s">
        <v>121</v>
      </c>
      <c r="C81" s="49">
        <f>IFERROR(SUM(#REF!),0)</f>
        <v>0</v>
      </c>
      <c r="D81" s="49">
        <f>IFERROR(SUM(#REF!),0)</f>
        <v>0</v>
      </c>
      <c r="E81" s="49">
        <f>IFERROR(SUM(#REF!),0)</f>
        <v>0</v>
      </c>
      <c r="F81" s="49">
        <f>IFERROR(SUM(#REF!),0)</f>
        <v>0</v>
      </c>
      <c r="G81" s="49">
        <f>IFERROR(SUM(#REF!),0)</f>
        <v>0</v>
      </c>
      <c r="H81" s="49">
        <f>IFERROR(SUM(#REF!),0)</f>
        <v>0</v>
      </c>
      <c r="I81" s="49">
        <f>IFERROR(SUM(#REF!),0)</f>
        <v>0</v>
      </c>
      <c r="J81" s="49">
        <f>IFERROR(SUM(#REF!),0)</f>
        <v>0</v>
      </c>
      <c r="K81" s="49">
        <f>IFERROR(SUM(#REF!),0)</f>
        <v>0</v>
      </c>
      <c r="L81" s="49">
        <f>IFERROR(SUM(#REF!),0)</f>
        <v>0</v>
      </c>
    </row>
    <row r="82" spans="2:12" x14ac:dyDescent="0.25">
      <c r="B82" s="27" t="s">
        <v>69</v>
      </c>
      <c r="C82" s="49">
        <f>IFERROR(SUM(#REF!),0)</f>
        <v>0</v>
      </c>
      <c r="D82" s="49">
        <f>IFERROR(SUM(#REF!),0)</f>
        <v>0</v>
      </c>
      <c r="E82" s="49">
        <f>IFERROR(SUM(#REF!),0)</f>
        <v>0</v>
      </c>
      <c r="F82" s="49">
        <f>IFERROR(SUM(#REF!),0)</f>
        <v>0</v>
      </c>
      <c r="G82" s="49">
        <f>IFERROR(SUM(#REF!),0)</f>
        <v>0</v>
      </c>
      <c r="H82" s="49">
        <f>IFERROR(SUM(#REF!),0)</f>
        <v>0</v>
      </c>
      <c r="I82" s="49">
        <f>IFERROR(SUM(#REF!),0)</f>
        <v>0</v>
      </c>
      <c r="J82" s="49">
        <f>IFERROR(SUM(#REF!),0)</f>
        <v>0</v>
      </c>
      <c r="K82" s="49">
        <f>IFERROR(SUM(#REF!),0)</f>
        <v>0</v>
      </c>
      <c r="L82" s="49">
        <f>IFERROR(SUM(#REF!),0)</f>
        <v>0</v>
      </c>
    </row>
    <row r="83" spans="2:12" x14ac:dyDescent="0.25">
      <c r="B83" s="27" t="s">
        <v>45</v>
      </c>
      <c r="C83" s="49">
        <f>IFERROR(SUM(#REF!),0)</f>
        <v>0</v>
      </c>
      <c r="D83" s="49">
        <f>IFERROR(SUM(#REF!),0)</f>
        <v>0</v>
      </c>
      <c r="E83" s="49">
        <f>IFERROR(SUM(#REF!),0)</f>
        <v>0</v>
      </c>
      <c r="F83" s="49">
        <f>IFERROR(SUM(#REF!),0)</f>
        <v>0</v>
      </c>
      <c r="G83" s="49">
        <f>IFERROR(SUM(#REF!),0)</f>
        <v>0</v>
      </c>
      <c r="H83" s="49">
        <f>IFERROR(SUM(#REF!),0)</f>
        <v>0</v>
      </c>
      <c r="I83" s="49">
        <f>IFERROR(SUM(#REF!),0)</f>
        <v>0</v>
      </c>
      <c r="J83" s="49">
        <f>IFERROR(SUM(#REF!),0)</f>
        <v>0</v>
      </c>
      <c r="K83" s="49">
        <f>IFERROR(SUM(#REF!),0)</f>
        <v>0</v>
      </c>
      <c r="L83" s="49">
        <f>IFERROR(SUM(#REF!),0)</f>
        <v>0</v>
      </c>
    </row>
    <row r="84" spans="2:12" x14ac:dyDescent="0.25">
      <c r="B84" s="27" t="s">
        <v>122</v>
      </c>
      <c r="C84" s="49">
        <f>IFERROR(SUM(#REF!),0)</f>
        <v>0</v>
      </c>
      <c r="D84" s="49">
        <f>IFERROR(SUM(#REF!),0)</f>
        <v>0</v>
      </c>
      <c r="E84" s="49">
        <f>IFERROR(SUM(#REF!),0)</f>
        <v>0</v>
      </c>
      <c r="F84" s="49">
        <f>IFERROR(SUM(#REF!),0)</f>
        <v>0</v>
      </c>
      <c r="G84" s="49">
        <f>IFERROR(SUM(#REF!),0)</f>
        <v>0</v>
      </c>
      <c r="H84" s="49">
        <f>IFERROR(SUM(#REF!),0)</f>
        <v>0</v>
      </c>
      <c r="I84" s="49">
        <f>IFERROR(SUM(#REF!),0)</f>
        <v>0</v>
      </c>
      <c r="J84" s="49">
        <f>IFERROR(SUM(#REF!),0)</f>
        <v>0</v>
      </c>
      <c r="K84" s="49">
        <f>IFERROR(SUM(#REF!),0)</f>
        <v>0</v>
      </c>
      <c r="L84" s="49">
        <f>IFERROR(SUM(#REF!),0)</f>
        <v>0</v>
      </c>
    </row>
    <row r="85" spans="2:12" x14ac:dyDescent="0.25">
      <c r="B85" s="27" t="s">
        <v>123</v>
      </c>
      <c r="C85" s="49">
        <f>IFERROR(SUM(#REF!),0)</f>
        <v>0</v>
      </c>
      <c r="D85" s="49">
        <f>IFERROR(SUM(#REF!),0)</f>
        <v>0</v>
      </c>
      <c r="E85" s="49">
        <f>IFERROR(SUM(#REF!),0)</f>
        <v>0</v>
      </c>
      <c r="F85" s="49">
        <f>IFERROR(SUM(#REF!),0)</f>
        <v>0</v>
      </c>
      <c r="G85" s="49">
        <f>IFERROR(SUM(#REF!),0)</f>
        <v>0</v>
      </c>
      <c r="H85" s="49">
        <f>IFERROR(SUM(#REF!),0)</f>
        <v>0</v>
      </c>
      <c r="I85" s="49">
        <f>IFERROR(SUM(#REF!),0)</f>
        <v>0</v>
      </c>
      <c r="J85" s="49">
        <f>IFERROR(SUM(#REF!),0)</f>
        <v>0</v>
      </c>
      <c r="K85" s="49">
        <f>IFERROR(SUM(#REF!),0)</f>
        <v>0</v>
      </c>
      <c r="L85" s="49">
        <f>IFERROR(SUM(#REF!),0)</f>
        <v>0</v>
      </c>
    </row>
    <row r="86" spans="2:12" x14ac:dyDescent="0.25">
      <c r="B86" s="27" t="s">
        <v>124</v>
      </c>
      <c r="C86" s="49">
        <f>IFERROR(SUM(#REF!),0)</f>
        <v>0</v>
      </c>
      <c r="D86" s="49">
        <f>IFERROR(SUM(#REF!),0)</f>
        <v>0</v>
      </c>
      <c r="E86" s="49">
        <f>IFERROR(SUM(#REF!),0)</f>
        <v>0</v>
      </c>
      <c r="F86" s="49">
        <f>IFERROR(SUM(#REF!),0)</f>
        <v>0</v>
      </c>
      <c r="G86" s="49">
        <f>IFERROR(SUM(#REF!),0)</f>
        <v>0</v>
      </c>
      <c r="H86" s="49">
        <f>IFERROR(SUM(#REF!),0)</f>
        <v>0</v>
      </c>
      <c r="I86" s="49">
        <f>IFERROR(SUM(#REF!),0)</f>
        <v>0</v>
      </c>
      <c r="J86" s="49">
        <f>IFERROR(SUM(#REF!),0)</f>
        <v>0</v>
      </c>
      <c r="K86" s="49">
        <f>IFERROR(SUM(#REF!),0)</f>
        <v>0</v>
      </c>
      <c r="L86" s="49">
        <f>IFERROR(SUM(#REF!),0)</f>
        <v>0</v>
      </c>
    </row>
    <row r="87" spans="2:12" x14ac:dyDescent="0.25">
      <c r="C87" s="39"/>
    </row>
    <row r="88" spans="2:12" x14ac:dyDescent="0.25">
      <c r="B88" s="28" t="s">
        <v>144</v>
      </c>
      <c r="C88" s="40">
        <f>IFERROR(SUM(#REF!),0)</f>
        <v>0</v>
      </c>
      <c r="D88" s="40">
        <f>IFERROR(SUM(#REF!),0)</f>
        <v>0</v>
      </c>
      <c r="E88" s="40">
        <f>IFERROR(SUM(#REF!),0)</f>
        <v>0</v>
      </c>
      <c r="F88" s="40">
        <f>IFERROR(SUM(#REF!),0)</f>
        <v>0</v>
      </c>
      <c r="G88" s="40">
        <f>IFERROR(SUM(#REF!),0)</f>
        <v>0</v>
      </c>
      <c r="H88" s="40">
        <f>IFERROR(SUM(#REF!),0)</f>
        <v>0</v>
      </c>
      <c r="I88" s="40">
        <f>IFERROR(SUM(#REF!),0)</f>
        <v>0</v>
      </c>
      <c r="J88" s="40">
        <f>IFERROR(SUM(#REF!),0)</f>
        <v>0</v>
      </c>
      <c r="K88" s="40">
        <f>IFERROR(SUM(#REF!),0)</f>
        <v>0</v>
      </c>
      <c r="L88" s="40">
        <f>IFERROR(SUM(#REF!),0)</f>
        <v>0</v>
      </c>
    </row>
    <row r="91" spans="2:12" x14ac:dyDescent="0.25">
      <c r="B91" s="28" t="s">
        <v>145</v>
      </c>
    </row>
    <row r="92" spans="2:12" x14ac:dyDescent="0.25">
      <c r="B92" s="27" t="s">
        <v>125</v>
      </c>
      <c r="C92" s="49">
        <f>IFERROR(SUM(#REF!),0)</f>
        <v>0</v>
      </c>
      <c r="D92" s="49">
        <f>IFERROR(SUM(#REF!),0)</f>
        <v>0</v>
      </c>
      <c r="E92" s="49">
        <f>IFERROR(SUM(#REF!),0)</f>
        <v>0</v>
      </c>
      <c r="F92" s="49">
        <f>IFERROR(SUM(#REF!),0)</f>
        <v>0</v>
      </c>
      <c r="G92" s="49">
        <f>IFERROR(SUM(#REF!),0)</f>
        <v>0</v>
      </c>
      <c r="H92" s="49">
        <f>IFERROR(SUM(#REF!),0)</f>
        <v>0</v>
      </c>
      <c r="I92" s="49">
        <f>IFERROR(SUM(#REF!),0)</f>
        <v>0</v>
      </c>
      <c r="J92" s="49">
        <f>IFERROR(SUM(#REF!),0)</f>
        <v>0</v>
      </c>
      <c r="K92" s="49">
        <f>IFERROR(SUM(#REF!),0)</f>
        <v>0</v>
      </c>
      <c r="L92" s="49">
        <f>IFERROR(SUM(#REF!),0)</f>
        <v>0</v>
      </c>
    </row>
    <row r="93" spans="2:12" x14ac:dyDescent="0.25">
      <c r="B93" s="27" t="s">
        <v>126</v>
      </c>
      <c r="C93" s="49">
        <f>IFERROR(SUM(#REF!),0)</f>
        <v>0</v>
      </c>
      <c r="D93" s="49">
        <f>IFERROR(SUM(#REF!),0)</f>
        <v>0</v>
      </c>
      <c r="E93" s="49">
        <f>IFERROR(SUM(#REF!),0)</f>
        <v>0</v>
      </c>
      <c r="F93" s="49">
        <f>IFERROR(SUM(#REF!),0)</f>
        <v>0</v>
      </c>
      <c r="G93" s="49">
        <f>IFERROR(SUM(#REF!),0)</f>
        <v>0</v>
      </c>
      <c r="H93" s="49">
        <f>IFERROR(SUM(#REF!),0)</f>
        <v>0</v>
      </c>
      <c r="I93" s="49">
        <f>IFERROR(SUM(#REF!),0)</f>
        <v>0</v>
      </c>
      <c r="J93" s="49">
        <f>IFERROR(SUM(#REF!),0)</f>
        <v>0</v>
      </c>
      <c r="K93" s="49">
        <f>IFERROR(SUM(#REF!),0)</f>
        <v>0</v>
      </c>
      <c r="L93" s="49">
        <f>IFERROR(SUM(#REF!),0)</f>
        <v>0</v>
      </c>
    </row>
    <row r="94" spans="2:12" x14ac:dyDescent="0.25">
      <c r="B94" s="27" t="s">
        <v>127</v>
      </c>
      <c r="C94" s="49">
        <f>IFERROR(SUM(#REF!),0)</f>
        <v>0</v>
      </c>
      <c r="D94" s="49">
        <f>IFERROR(SUM(#REF!),0)</f>
        <v>0</v>
      </c>
      <c r="E94" s="49">
        <f>IFERROR(SUM(#REF!),0)</f>
        <v>0</v>
      </c>
      <c r="F94" s="49">
        <f>IFERROR(SUM(#REF!),0)</f>
        <v>0</v>
      </c>
      <c r="G94" s="49">
        <f>IFERROR(SUM(#REF!),0)</f>
        <v>0</v>
      </c>
      <c r="H94" s="49">
        <f>IFERROR(SUM(#REF!),0)</f>
        <v>0</v>
      </c>
      <c r="I94" s="49">
        <f>IFERROR(SUM(#REF!),0)</f>
        <v>0</v>
      </c>
      <c r="J94" s="49">
        <f>IFERROR(SUM(#REF!),0)</f>
        <v>0</v>
      </c>
      <c r="K94" s="49">
        <f>IFERROR(SUM(#REF!),0)</f>
        <v>0</v>
      </c>
      <c r="L94" s="49">
        <f>IFERROR(SUM(#REF!),0)</f>
        <v>0</v>
      </c>
    </row>
    <row r="95" spans="2:12" x14ac:dyDescent="0.25">
      <c r="B95" s="27" t="s">
        <v>128</v>
      </c>
      <c r="C95" s="49">
        <f>IFERROR(SUM(#REF!),0)</f>
        <v>0</v>
      </c>
      <c r="D95" s="49">
        <f>IFERROR(SUM(#REF!),0)</f>
        <v>0</v>
      </c>
      <c r="E95" s="49">
        <f>IFERROR(SUM(#REF!),0)</f>
        <v>0</v>
      </c>
      <c r="F95" s="49">
        <f>IFERROR(SUM(#REF!),0)</f>
        <v>0</v>
      </c>
      <c r="G95" s="49">
        <f>IFERROR(SUM(#REF!),0)</f>
        <v>0</v>
      </c>
      <c r="H95" s="49">
        <f>IFERROR(SUM(#REF!),0)</f>
        <v>0</v>
      </c>
      <c r="I95" s="49">
        <f>IFERROR(SUM(#REF!),0)</f>
        <v>0</v>
      </c>
      <c r="J95" s="49">
        <f>IFERROR(SUM(#REF!),0)</f>
        <v>0</v>
      </c>
      <c r="K95" s="49">
        <f>IFERROR(SUM(#REF!),0)</f>
        <v>0</v>
      </c>
      <c r="L95" s="49">
        <f>IFERROR(SUM(#REF!),0)</f>
        <v>0</v>
      </c>
    </row>
    <row r="96" spans="2:12" x14ac:dyDescent="0.25">
      <c r="B96" s="27" t="s">
        <v>129</v>
      </c>
      <c r="C96" s="49">
        <f>IFERROR(SUM(#REF!),0)</f>
        <v>0</v>
      </c>
      <c r="D96" s="49">
        <f>IFERROR(SUM(#REF!),0)</f>
        <v>0</v>
      </c>
      <c r="E96" s="49">
        <f>IFERROR(SUM(#REF!),0)</f>
        <v>0</v>
      </c>
      <c r="F96" s="49">
        <f>IFERROR(SUM(#REF!),0)</f>
        <v>0</v>
      </c>
      <c r="G96" s="49">
        <f>IFERROR(SUM(#REF!),0)</f>
        <v>0</v>
      </c>
      <c r="H96" s="49">
        <f>IFERROR(SUM(#REF!),0)</f>
        <v>0</v>
      </c>
      <c r="I96" s="49">
        <f>IFERROR(SUM(#REF!),0)</f>
        <v>0</v>
      </c>
      <c r="J96" s="49">
        <f>IFERROR(SUM(#REF!),0)</f>
        <v>0</v>
      </c>
      <c r="K96" s="49">
        <f>IFERROR(SUM(#REF!),0)</f>
        <v>0</v>
      </c>
      <c r="L96" s="49">
        <f>IFERROR(SUM(#REF!),0)</f>
        <v>0</v>
      </c>
    </row>
    <row r="97" spans="2:12" x14ac:dyDescent="0.25">
      <c r="B97" s="27" t="s">
        <v>130</v>
      </c>
      <c r="C97" s="49">
        <f>IFERROR(SUM(#REF!),0)</f>
        <v>0</v>
      </c>
      <c r="D97" s="49">
        <f>IFERROR(SUM(#REF!),0)</f>
        <v>0</v>
      </c>
      <c r="E97" s="49">
        <f>IFERROR(SUM(#REF!),0)</f>
        <v>0</v>
      </c>
      <c r="F97" s="49">
        <f>IFERROR(SUM(#REF!),0)</f>
        <v>0</v>
      </c>
      <c r="G97" s="49">
        <f>IFERROR(SUM(#REF!),0)</f>
        <v>0</v>
      </c>
      <c r="H97" s="49">
        <f>IFERROR(SUM(#REF!),0)</f>
        <v>0</v>
      </c>
      <c r="I97" s="49">
        <f>IFERROR(SUM(#REF!),0)</f>
        <v>0</v>
      </c>
      <c r="J97" s="49">
        <f>IFERROR(SUM(#REF!),0)</f>
        <v>0</v>
      </c>
      <c r="K97" s="49">
        <f>IFERROR(SUM(#REF!),0)</f>
        <v>0</v>
      </c>
      <c r="L97" s="49">
        <f>IFERROR(SUM(#REF!),0)</f>
        <v>0</v>
      </c>
    </row>
    <row r="98" spans="2:12" x14ac:dyDescent="0.25">
      <c r="B98" s="27" t="s">
        <v>131</v>
      </c>
      <c r="C98" s="49">
        <f>IFERROR(SUM(#REF!),0)</f>
        <v>0</v>
      </c>
      <c r="D98" s="49">
        <f>IFERROR(SUM(#REF!),0)</f>
        <v>0</v>
      </c>
      <c r="E98" s="49">
        <f>IFERROR(SUM(#REF!),0)</f>
        <v>0</v>
      </c>
      <c r="F98" s="49">
        <f>IFERROR(SUM(#REF!),0)</f>
        <v>0</v>
      </c>
      <c r="G98" s="49">
        <f>IFERROR(SUM(#REF!),0)</f>
        <v>0</v>
      </c>
      <c r="H98" s="49">
        <f>IFERROR(SUM(#REF!),0)</f>
        <v>0</v>
      </c>
      <c r="I98" s="49">
        <f>IFERROR(SUM(#REF!),0)</f>
        <v>0</v>
      </c>
      <c r="J98" s="49">
        <f>IFERROR(SUM(#REF!),0)</f>
        <v>0</v>
      </c>
      <c r="K98" s="49">
        <f>IFERROR(SUM(#REF!),0)</f>
        <v>0</v>
      </c>
      <c r="L98" s="49">
        <f>IFERROR(SUM(#REF!),0)</f>
        <v>0</v>
      </c>
    </row>
    <row r="100" spans="2:12" x14ac:dyDescent="0.25">
      <c r="B100" s="28" t="s">
        <v>146</v>
      </c>
      <c r="C100" s="41">
        <f>IFERROR(SUM(#REF!),0)</f>
        <v>0</v>
      </c>
      <c r="D100" s="41">
        <f>IFERROR(SUM(#REF!),0)</f>
        <v>0</v>
      </c>
      <c r="E100" s="41">
        <f>IFERROR(SUM(#REF!),0)</f>
        <v>0</v>
      </c>
      <c r="F100" s="41">
        <f>IFERROR(SUM(#REF!),0)</f>
        <v>0</v>
      </c>
      <c r="G100" s="41">
        <f>IFERROR(SUM(#REF!),0)</f>
        <v>0</v>
      </c>
      <c r="H100" s="41">
        <f>IFERROR(SUM(#REF!),0)</f>
        <v>0</v>
      </c>
      <c r="I100" s="41">
        <f>IFERROR(SUM(#REF!),0)</f>
        <v>0</v>
      </c>
      <c r="J100" s="41">
        <f>IFERROR(SUM(#REF!),0)</f>
        <v>0</v>
      </c>
      <c r="K100" s="41">
        <f>IFERROR(SUM(#REF!),0)</f>
        <v>0</v>
      </c>
      <c r="L100" s="41">
        <f>IFERROR(SUM(#REF!),0)</f>
        <v>0</v>
      </c>
    </row>
    <row r="103" spans="2:12" x14ac:dyDescent="0.25">
      <c r="B103" s="28" t="s">
        <v>147</v>
      </c>
    </row>
    <row r="104" spans="2:12" x14ac:dyDescent="0.25">
      <c r="B104" s="27" t="s">
        <v>132</v>
      </c>
      <c r="C104" s="49">
        <f>IFERROR(SUM(#REF!),0)</f>
        <v>0</v>
      </c>
      <c r="D104" s="49">
        <f>IFERROR(SUM(#REF!),0)</f>
        <v>0</v>
      </c>
      <c r="E104" s="49">
        <f>IFERROR(SUM(#REF!),0)</f>
        <v>0</v>
      </c>
      <c r="F104" s="49">
        <f>IFERROR(SUM(#REF!),0)</f>
        <v>0</v>
      </c>
      <c r="G104" s="49">
        <f>IFERROR(SUM(#REF!),0)</f>
        <v>0</v>
      </c>
      <c r="H104" s="49">
        <f>IFERROR(SUM(#REF!),0)</f>
        <v>0</v>
      </c>
      <c r="I104" s="49">
        <f>IFERROR(SUM(#REF!),0)</f>
        <v>0</v>
      </c>
      <c r="J104" s="49">
        <f>IFERROR(SUM(#REF!),0)</f>
        <v>0</v>
      </c>
      <c r="K104" s="49">
        <f>IFERROR(SUM(#REF!),0)</f>
        <v>0</v>
      </c>
      <c r="L104" s="49">
        <f>IFERROR(SUM(#REF!),0)</f>
        <v>0</v>
      </c>
    </row>
    <row r="105" spans="2:12" x14ac:dyDescent="0.25">
      <c r="B105" s="27" t="s">
        <v>133</v>
      </c>
      <c r="C105" s="49">
        <f>IFERROR(SUM(#REF!),0)</f>
        <v>0</v>
      </c>
      <c r="D105" s="49">
        <f>IFERROR(SUM(#REF!),0)</f>
        <v>0</v>
      </c>
      <c r="E105" s="49">
        <f>IFERROR(SUM(#REF!),0)</f>
        <v>0</v>
      </c>
      <c r="F105" s="49">
        <f>IFERROR(SUM(#REF!),0)</f>
        <v>0</v>
      </c>
      <c r="G105" s="49">
        <f>IFERROR(SUM(#REF!),0)</f>
        <v>0</v>
      </c>
      <c r="H105" s="49">
        <f>IFERROR(SUM(#REF!),0)</f>
        <v>0</v>
      </c>
      <c r="I105" s="49">
        <f>IFERROR(SUM(#REF!),0)</f>
        <v>0</v>
      </c>
      <c r="J105" s="49">
        <f>IFERROR(SUM(#REF!),0)</f>
        <v>0</v>
      </c>
      <c r="K105" s="49">
        <f>IFERROR(SUM(#REF!),0)</f>
        <v>0</v>
      </c>
      <c r="L105" s="49">
        <f>IFERROR(SUM(#REF!),0)</f>
        <v>0</v>
      </c>
    </row>
    <row r="106" spans="2:12" x14ac:dyDescent="0.25">
      <c r="B106" s="27" t="s">
        <v>134</v>
      </c>
      <c r="C106" s="49">
        <f>IFERROR(SUM(#REF!),0)</f>
        <v>0</v>
      </c>
      <c r="D106" s="49">
        <f>IFERROR(SUM(#REF!),0)</f>
        <v>0</v>
      </c>
      <c r="E106" s="49">
        <f>IFERROR(SUM(#REF!),0)</f>
        <v>0</v>
      </c>
      <c r="F106" s="49">
        <f>IFERROR(SUM(#REF!),0)</f>
        <v>0</v>
      </c>
      <c r="G106" s="49">
        <f>IFERROR(SUM(#REF!),0)</f>
        <v>0</v>
      </c>
      <c r="H106" s="49">
        <f>IFERROR(SUM(#REF!),0)</f>
        <v>0</v>
      </c>
      <c r="I106" s="49">
        <f>IFERROR(SUM(#REF!),0)</f>
        <v>0</v>
      </c>
      <c r="J106" s="49">
        <f>IFERROR(SUM(#REF!),0)</f>
        <v>0</v>
      </c>
      <c r="K106" s="49">
        <f>IFERROR(SUM(#REF!),0)</f>
        <v>0</v>
      </c>
      <c r="L106" s="49">
        <f>IFERROR(SUM(#REF!),0)</f>
        <v>0</v>
      </c>
    </row>
    <row r="107" spans="2:12" x14ac:dyDescent="0.25">
      <c r="B107" s="27" t="s">
        <v>135</v>
      </c>
      <c r="C107" s="49">
        <f>IFERROR(SUM(#REF!),0)</f>
        <v>0</v>
      </c>
      <c r="D107" s="49">
        <f>IFERROR(SUM(#REF!),0)</f>
        <v>0</v>
      </c>
      <c r="E107" s="49">
        <f>IFERROR(SUM(#REF!),0)</f>
        <v>0</v>
      </c>
      <c r="F107" s="49">
        <f>IFERROR(SUM(#REF!),0)</f>
        <v>0</v>
      </c>
      <c r="G107" s="49">
        <f>IFERROR(SUM(#REF!),0)</f>
        <v>0</v>
      </c>
      <c r="H107" s="49">
        <f>IFERROR(SUM(#REF!),0)</f>
        <v>0</v>
      </c>
      <c r="I107" s="49">
        <f>IFERROR(SUM(#REF!),0)</f>
        <v>0</v>
      </c>
      <c r="J107" s="49">
        <f>IFERROR(SUM(#REF!),0)</f>
        <v>0</v>
      </c>
      <c r="K107" s="49">
        <f>IFERROR(SUM(#REF!),0)</f>
        <v>0</v>
      </c>
      <c r="L107" s="49">
        <f>IFERROR(SUM(#REF!),0)</f>
        <v>0</v>
      </c>
    </row>
    <row r="108" spans="2:12" x14ac:dyDescent="0.25">
      <c r="B108" s="27" t="s">
        <v>136</v>
      </c>
      <c r="C108" s="49">
        <f>IFERROR(SUM(#REF!),0)</f>
        <v>0</v>
      </c>
      <c r="D108" s="49">
        <f>IFERROR(SUM(#REF!),0)</f>
        <v>0</v>
      </c>
      <c r="E108" s="49">
        <f>IFERROR(SUM(#REF!),0)</f>
        <v>0</v>
      </c>
      <c r="F108" s="49">
        <f>IFERROR(SUM(#REF!),0)</f>
        <v>0</v>
      </c>
      <c r="G108" s="49">
        <f>IFERROR(SUM(#REF!),0)</f>
        <v>0</v>
      </c>
      <c r="H108" s="49">
        <f>IFERROR(SUM(#REF!),0)</f>
        <v>0</v>
      </c>
      <c r="I108" s="49">
        <f>IFERROR(SUM(#REF!),0)</f>
        <v>0</v>
      </c>
      <c r="J108" s="49">
        <f>IFERROR(SUM(#REF!),0)</f>
        <v>0</v>
      </c>
      <c r="K108" s="49">
        <f>IFERROR(SUM(#REF!),0)</f>
        <v>0</v>
      </c>
      <c r="L108" s="49">
        <f>IFERROR(SUM(#REF!),0)</f>
        <v>0</v>
      </c>
    </row>
    <row r="109" spans="2:12" x14ac:dyDescent="0.25">
      <c r="B109" s="27" t="s">
        <v>137</v>
      </c>
      <c r="C109" s="49">
        <f>IFERROR(SUM(#REF!),0)</f>
        <v>0</v>
      </c>
      <c r="D109" s="49">
        <f>IFERROR(SUM(#REF!),0)</f>
        <v>0</v>
      </c>
      <c r="E109" s="49">
        <f>IFERROR(SUM(#REF!),0)</f>
        <v>0</v>
      </c>
      <c r="F109" s="49">
        <f>IFERROR(SUM(#REF!),0)</f>
        <v>0</v>
      </c>
      <c r="G109" s="49">
        <f>IFERROR(SUM(#REF!),0)</f>
        <v>0</v>
      </c>
      <c r="H109" s="49">
        <f>IFERROR(SUM(#REF!),0)</f>
        <v>0</v>
      </c>
      <c r="I109" s="49">
        <f>IFERROR(SUM(#REF!),0)</f>
        <v>0</v>
      </c>
      <c r="J109" s="49">
        <f>IFERROR(SUM(#REF!),0)</f>
        <v>0</v>
      </c>
      <c r="K109" s="49">
        <f>IFERROR(SUM(#REF!),0)</f>
        <v>0</v>
      </c>
      <c r="L109" s="49">
        <f>IFERROR(SUM(#REF!),0)</f>
        <v>0</v>
      </c>
    </row>
    <row r="110" spans="2:12" x14ac:dyDescent="0.25">
      <c r="B110" s="27" t="s">
        <v>138</v>
      </c>
      <c r="C110" s="49">
        <f>IFERROR(SUM(#REF!),0)</f>
        <v>0</v>
      </c>
      <c r="D110" s="49">
        <f>IFERROR(SUM(#REF!),0)</f>
        <v>0</v>
      </c>
      <c r="E110" s="49">
        <f>IFERROR(SUM(#REF!),0)</f>
        <v>0</v>
      </c>
      <c r="F110" s="49">
        <f>IFERROR(SUM(#REF!),0)</f>
        <v>0</v>
      </c>
      <c r="G110" s="49">
        <f>IFERROR(SUM(#REF!),0)</f>
        <v>0</v>
      </c>
      <c r="H110" s="49">
        <f>IFERROR(SUM(#REF!),0)</f>
        <v>0</v>
      </c>
      <c r="I110" s="49">
        <f>IFERROR(SUM(#REF!),0)</f>
        <v>0</v>
      </c>
      <c r="J110" s="49">
        <f>IFERROR(SUM(#REF!),0)</f>
        <v>0</v>
      </c>
      <c r="K110" s="49">
        <f>IFERROR(SUM(#REF!),0)</f>
        <v>0</v>
      </c>
      <c r="L110" s="49">
        <f>IFERROR(SUM(#REF!),0)</f>
        <v>0</v>
      </c>
    </row>
    <row r="111" spans="2:12" x14ac:dyDescent="0.25">
      <c r="B111" s="27" t="s">
        <v>139</v>
      </c>
      <c r="C111" s="49">
        <f>IFERROR(SUM(#REF!),0)</f>
        <v>0</v>
      </c>
      <c r="D111" s="49">
        <f>IFERROR(SUM(#REF!),0)</f>
        <v>0</v>
      </c>
      <c r="E111" s="49">
        <f>IFERROR(SUM(#REF!),0)</f>
        <v>0</v>
      </c>
      <c r="F111" s="49">
        <f>IFERROR(SUM(#REF!),0)</f>
        <v>0</v>
      </c>
      <c r="G111" s="49">
        <f>IFERROR(SUM(#REF!),0)</f>
        <v>0</v>
      </c>
      <c r="H111" s="49">
        <f>IFERROR(SUM(#REF!),0)</f>
        <v>0</v>
      </c>
      <c r="I111" s="49">
        <f>IFERROR(SUM(#REF!),0)</f>
        <v>0</v>
      </c>
      <c r="J111" s="49">
        <f>IFERROR(SUM(#REF!),0)</f>
        <v>0</v>
      </c>
      <c r="K111" s="49">
        <f>IFERROR(SUM(#REF!),0)</f>
        <v>0</v>
      </c>
      <c r="L111" s="49">
        <f>IFERROR(SUM(#REF!),0)</f>
        <v>0</v>
      </c>
    </row>
    <row r="112" spans="2:12" x14ac:dyDescent="0.25">
      <c r="B112" s="27" t="s">
        <v>35</v>
      </c>
      <c r="C112" s="49">
        <f>IFERROR(SUM(#REF!),0)</f>
        <v>0</v>
      </c>
      <c r="D112" s="49">
        <f>IFERROR(SUM(#REF!),0)</f>
        <v>0</v>
      </c>
      <c r="E112" s="49">
        <f>IFERROR(SUM(#REF!),0)</f>
        <v>0</v>
      </c>
      <c r="F112" s="49">
        <f>IFERROR(SUM(#REF!),0)</f>
        <v>0</v>
      </c>
      <c r="G112" s="49">
        <f>IFERROR(SUM(#REF!),0)</f>
        <v>0</v>
      </c>
      <c r="H112" s="49">
        <f>IFERROR(SUM(#REF!),0)</f>
        <v>0</v>
      </c>
      <c r="I112" s="49">
        <f>IFERROR(SUM(#REF!),0)</f>
        <v>0</v>
      </c>
      <c r="J112" s="49">
        <f>IFERROR(SUM(#REF!),0)</f>
        <v>0</v>
      </c>
      <c r="K112" s="49">
        <f>IFERROR(SUM(#REF!),0)</f>
        <v>0</v>
      </c>
      <c r="L112" s="49">
        <f>IFERROR(SUM(#REF!),0)</f>
        <v>0</v>
      </c>
    </row>
    <row r="113" spans="2:12" x14ac:dyDescent="0.25">
      <c r="B113" s="27" t="s">
        <v>140</v>
      </c>
      <c r="C113" s="49">
        <f>IFERROR(SUM(#REF!),0)</f>
        <v>0</v>
      </c>
      <c r="D113" s="49">
        <f>IFERROR(SUM(#REF!),0)</f>
        <v>0</v>
      </c>
      <c r="E113" s="49">
        <f>IFERROR(SUM(#REF!),0)</f>
        <v>0</v>
      </c>
      <c r="F113" s="49">
        <f>IFERROR(SUM(#REF!),0)</f>
        <v>0</v>
      </c>
      <c r="G113" s="49">
        <f>IFERROR(SUM(#REF!),0)</f>
        <v>0</v>
      </c>
      <c r="H113" s="49">
        <f>IFERROR(SUM(#REF!),0)</f>
        <v>0</v>
      </c>
      <c r="I113" s="49">
        <f>IFERROR(SUM(#REF!),0)</f>
        <v>0</v>
      </c>
      <c r="J113" s="49">
        <f>IFERROR(SUM(#REF!),0)</f>
        <v>0</v>
      </c>
      <c r="K113" s="49">
        <f>IFERROR(SUM(#REF!),0)</f>
        <v>0</v>
      </c>
      <c r="L113" s="49">
        <f>IFERROR(SUM(#REF!),0)</f>
        <v>0</v>
      </c>
    </row>
    <row r="114" spans="2:12" x14ac:dyDescent="0.25">
      <c r="B114" s="27" t="s">
        <v>141</v>
      </c>
      <c r="C114" s="49">
        <f>IFERROR(SUM(#REF!),0)</f>
        <v>0</v>
      </c>
      <c r="D114" s="49">
        <f>IFERROR(SUM(#REF!),0)</f>
        <v>0</v>
      </c>
      <c r="E114" s="49">
        <f>IFERROR(SUM(#REF!),0)</f>
        <v>0</v>
      </c>
      <c r="F114" s="49">
        <f>IFERROR(SUM(#REF!),0)</f>
        <v>0</v>
      </c>
      <c r="G114" s="49">
        <f>IFERROR(SUM(#REF!),0)</f>
        <v>0</v>
      </c>
      <c r="H114" s="49">
        <f>IFERROR(SUM(#REF!),0)</f>
        <v>0</v>
      </c>
      <c r="I114" s="49">
        <f>IFERROR(SUM(#REF!),0)</f>
        <v>0</v>
      </c>
      <c r="J114" s="49">
        <f>IFERROR(SUM(#REF!),0)</f>
        <v>0</v>
      </c>
      <c r="K114" s="49">
        <f>IFERROR(SUM(#REF!),0)</f>
        <v>0</v>
      </c>
      <c r="L114" s="49">
        <f>IFERROR(SUM(#REF!),0)</f>
        <v>0</v>
      </c>
    </row>
    <row r="116" spans="2:12" x14ac:dyDescent="0.25">
      <c r="B116" s="28" t="s">
        <v>148</v>
      </c>
      <c r="C116" s="41">
        <f>IFERROR(SUM(#REF!),0)</f>
        <v>0</v>
      </c>
      <c r="D116" s="41">
        <f>IFERROR(SUM(#REF!),0)</f>
        <v>0</v>
      </c>
      <c r="E116" s="41">
        <f>IFERROR(SUM(#REF!),0)</f>
        <v>0</v>
      </c>
      <c r="F116" s="41">
        <f>IFERROR(SUM(#REF!),0)</f>
        <v>0</v>
      </c>
      <c r="G116" s="41">
        <f>IFERROR(SUM(#REF!),0)</f>
        <v>0</v>
      </c>
      <c r="H116" s="41">
        <f>IFERROR(SUM(#REF!),0)</f>
        <v>0</v>
      </c>
      <c r="I116" s="41">
        <f>IFERROR(SUM(#REF!),0)</f>
        <v>0</v>
      </c>
      <c r="J116" s="41">
        <f>IFERROR(SUM(#REF!),0)</f>
        <v>0</v>
      </c>
      <c r="K116" s="41">
        <f>IFERROR(SUM(#REF!),0)</f>
        <v>0</v>
      </c>
      <c r="L116" s="41">
        <f>IFERROR(SUM(#REF!),0)</f>
        <v>0</v>
      </c>
    </row>
    <row r="118" spans="2:12" x14ac:dyDescent="0.25">
      <c r="B118" s="28" t="s">
        <v>149</v>
      </c>
      <c r="C118" s="41">
        <f>IFERROR(SUM(C116,C100,C88),0)</f>
        <v>0</v>
      </c>
      <c r="D118" s="41">
        <f t="shared" ref="D118:L118" si="25">IFERROR(SUM(D116,D100,D88),0)</f>
        <v>0</v>
      </c>
      <c r="E118" s="41">
        <f t="shared" si="25"/>
        <v>0</v>
      </c>
      <c r="F118" s="41">
        <f t="shared" si="25"/>
        <v>0</v>
      </c>
      <c r="G118" s="41">
        <f t="shared" si="25"/>
        <v>0</v>
      </c>
      <c r="H118" s="41">
        <f t="shared" si="25"/>
        <v>0</v>
      </c>
      <c r="I118" s="41">
        <f t="shared" si="25"/>
        <v>0</v>
      </c>
      <c r="J118" s="41">
        <f t="shared" si="25"/>
        <v>0</v>
      </c>
      <c r="K118" s="41">
        <f t="shared" si="25"/>
        <v>0</v>
      </c>
      <c r="L118" s="41">
        <f t="shared" si="25"/>
        <v>0</v>
      </c>
    </row>
  </sheetData>
  <pageMargins left="0.7" right="0.7" top="0.75" bottom="0.75" header="0.3" footer="0.3"/>
  <pageSetup paperSize="9" scale="36" fitToHeight="0" orientation="portrait" r:id="rId1"/>
  <ignoredErrors>
    <ignoredError sqref="D5 E5:L5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AA37-3676-413F-BE2D-A0F81A2EA5F3}">
  <sheetPr>
    <tabColor rgb="FF00B050"/>
  </sheetPr>
  <dimension ref="A1"/>
  <sheetViews>
    <sheetView tabSelected="1" workbookViewId="0">
      <selection activeCell="I4" sqref="I4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8C54-2D22-40DF-A276-F3B610D78F25}">
  <sheetPr>
    <tabColor rgb="FF00B050"/>
  </sheetPr>
  <dimension ref="B1:Z3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41" sqref="M41"/>
    </sheetView>
  </sheetViews>
  <sheetFormatPr defaultRowHeight="15" x14ac:dyDescent="0.25"/>
  <cols>
    <col min="1" max="1" width="2" style="44" customWidth="1"/>
    <col min="2" max="2" width="33.85546875" style="44" customWidth="1"/>
    <col min="3" max="3" width="11" style="44" customWidth="1"/>
    <col min="4" max="4" width="11.85546875" style="44" customWidth="1"/>
    <col min="5" max="5" width="11.140625" style="44" customWidth="1"/>
    <col min="6" max="6" width="11.7109375" style="44" customWidth="1"/>
    <col min="7" max="7" width="13.140625" style="44" customWidth="1"/>
    <col min="8" max="8" width="11.42578125" style="44" customWidth="1"/>
    <col min="9" max="9" width="11.5703125" style="44" customWidth="1"/>
    <col min="10" max="10" width="11.85546875" style="44" customWidth="1"/>
    <col min="11" max="11" width="11.5703125" style="44" customWidth="1"/>
    <col min="12" max="12" width="13.85546875" style="44" customWidth="1"/>
    <col min="13" max="13" width="22.7109375" style="44" customWidth="1"/>
    <col min="14" max="14" width="13.5703125" style="44" customWidth="1"/>
    <col min="15" max="15" width="12.5703125" style="44" customWidth="1"/>
    <col min="16" max="16384" width="9.140625" style="44"/>
  </cols>
  <sheetData>
    <row r="1" spans="2:15" x14ac:dyDescent="0.25">
      <c r="B1" s="77"/>
      <c r="C1" s="77"/>
      <c r="D1" s="77" t="str">
        <f>"RATIO ANALYSIS - "&amp;'Data Sheet'!B1</f>
        <v>RATIO ANALYSIS - RELIANCE INDUSTRIES LTD</v>
      </c>
      <c r="E1" s="78"/>
      <c r="F1" s="78"/>
      <c r="G1" s="78"/>
      <c r="H1" s="78"/>
      <c r="I1" s="78"/>
      <c r="J1" s="78"/>
      <c r="K1" s="78"/>
      <c r="L1" s="79"/>
    </row>
    <row r="2" spans="2:15" x14ac:dyDescent="0.25">
      <c r="B2" s="80" t="s">
        <v>81</v>
      </c>
      <c r="C2" s="81">
        <f>'Data Sheet'!B16</f>
        <v>42825</v>
      </c>
      <c r="D2" s="81">
        <f>'Data Sheet'!C16</f>
        <v>43190</v>
      </c>
      <c r="E2" s="81">
        <f>'Data Sheet'!D16</f>
        <v>43555</v>
      </c>
      <c r="F2" s="81">
        <f>'Data Sheet'!E16</f>
        <v>43921</v>
      </c>
      <c r="G2" s="81">
        <f>'Data Sheet'!F16</f>
        <v>44286</v>
      </c>
      <c r="H2" s="81">
        <f>'Data Sheet'!G16</f>
        <v>44651</v>
      </c>
      <c r="I2" s="81">
        <f>'Data Sheet'!H16</f>
        <v>45016</v>
      </c>
      <c r="J2" s="81">
        <f>'Data Sheet'!I16</f>
        <v>45382</v>
      </c>
      <c r="K2" s="81">
        <f>'Data Sheet'!J16</f>
        <v>45747</v>
      </c>
      <c r="L2" s="81">
        <f>'Data Sheet'!K16</f>
        <v>46112</v>
      </c>
      <c r="M2" s="83" t="s">
        <v>181</v>
      </c>
      <c r="N2" s="83" t="s">
        <v>179</v>
      </c>
      <c r="O2" s="83" t="s">
        <v>180</v>
      </c>
    </row>
    <row r="4" spans="2:15" x14ac:dyDescent="0.25">
      <c r="B4" s="59" t="s">
        <v>22</v>
      </c>
      <c r="C4" s="60">
        <f>IFERROR(DATAs!C6,0)</f>
        <v>0</v>
      </c>
      <c r="D4" s="60">
        <f>IFERROR(DATAs!D6,0)</f>
        <v>0.28579653500200686</v>
      </c>
      <c r="E4" s="60">
        <f>IFERROR(DATAs!E6,0)</f>
        <v>0.45420561225925793</v>
      </c>
      <c r="F4" s="60">
        <f>IFERROR(DATAs!F6,0)</f>
        <v>4.9868299969912266E-2</v>
      </c>
      <c r="G4" s="60">
        <f>IFERROR(DATAs!G6,0)</f>
        <v>-0.21849604226057895</v>
      </c>
      <c r="H4" s="60">
        <f>IFERROR(DATAs!H6,0)</f>
        <v>0.48973315862725619</v>
      </c>
      <c r="I4" s="60">
        <f>IFERROR(DATAs!I6,0)</f>
        <v>0.26159502384575184</v>
      </c>
      <c r="J4" s="60">
        <f>IFERROR(DATAs!J6,0)</f>
        <v>2.5838776078393799E-2</v>
      </c>
      <c r="K4" s="60">
        <f>IFERROR(DATAs!K6,0)</f>
        <v>7.0941147289167006E-2</v>
      </c>
      <c r="L4" s="60">
        <f>IFERROR(DATAs!L6,0)</f>
        <v>9.8044286574852979E-2</v>
      </c>
      <c r="M4" s="82"/>
      <c r="N4" s="60">
        <f>IFERROR(AVERAGE(C4:L4),0)</f>
        <v>0.15175267973860201</v>
      </c>
      <c r="O4" s="60">
        <f>IFERROR(MEDIAN(C4:L4),0)</f>
        <v>8.4492716932009992E-2</v>
      </c>
    </row>
    <row r="5" spans="2:15" x14ac:dyDescent="0.25">
      <c r="B5" s="61" t="s">
        <v>153</v>
      </c>
      <c r="C5" s="62"/>
      <c r="D5" s="63">
        <f>IFERROR(DATAs!D18/DATAs!C18-1,0)</f>
        <v>0.34999542919828142</v>
      </c>
      <c r="E5" s="63">
        <f>IFERROR(DATAs!E18/DATAs!D18-1,0)</f>
        <v>0.31013841111622731</v>
      </c>
      <c r="F5" s="63">
        <f>IFERROR(DATAs!F18/DATAs!E18-1,0)</f>
        <v>6.8256527941450207E-2</v>
      </c>
      <c r="G5" s="63">
        <f>IFERROR(DATAs!G18/DATAs!F18-1,0)</f>
        <v>-7.4839608674195146E-2</v>
      </c>
      <c r="H5" s="63">
        <f>IFERROR(DATAs!H18/DATAs!G18-1,0)</f>
        <v>0.33190038386310627</v>
      </c>
      <c r="I5" s="63">
        <f>IFERROR(DATAs!I18/DATAs!H18-1,0)</f>
        <v>0.31295204140129895</v>
      </c>
      <c r="J5" s="63">
        <f>IFERROR(DATAs!J18/DATAs!I18-1,0)</f>
        <v>0.12552784257431671</v>
      </c>
      <c r="K5" s="63">
        <f>IFERROR(DATAs!K18/DATAs!J18-1,0)</f>
        <v>3.1778591432534364E-2</v>
      </c>
      <c r="L5" s="63">
        <f>IFERROR(DATAs!L18/DATAs!K18-1,0)</f>
        <v>7.7823616969771914E-2</v>
      </c>
      <c r="M5" s="62"/>
      <c r="N5" s="63">
        <f t="shared" ref="N5:N7" si="0">IFERROR(AVERAGE(C5:L5),0)</f>
        <v>0.170392581758088</v>
      </c>
      <c r="O5" s="63">
        <f t="shared" ref="O5:O31" si="1">IFERROR(MEDIAN(C5:L5),0)</f>
        <v>0.12552784257431671</v>
      </c>
    </row>
    <row r="6" spans="2:15" x14ac:dyDescent="0.25">
      <c r="B6" s="61" t="s">
        <v>173</v>
      </c>
      <c r="C6" s="62"/>
      <c r="D6" s="63">
        <f>IFERROR(DATAs!D27/DATAs!C27-1,0)</f>
        <v>0.25204081632653064</v>
      </c>
      <c r="E6" s="63">
        <f>IFERROR(DATAs!E27/DATAs!D27-1,0)</f>
        <v>0.20841483292583529</v>
      </c>
      <c r="F6" s="63">
        <f>IFERROR(DATAs!F27/DATAs!E27-1,0)</f>
        <v>-3.3384477903859455E-3</v>
      </c>
      <c r="G6" s="63">
        <f>IFERROR(DATAs!G27/DATAs!F27-1,0)</f>
        <v>-0.19057366649185425</v>
      </c>
      <c r="H6" s="63">
        <f>IFERROR(DATAs!H27/DATAs!G27-1,0)</f>
        <v>0.73416795552397285</v>
      </c>
      <c r="I6" s="63">
        <f>IFERROR(DATAs!I27/DATAs!H27-1,0)</f>
        <v>0.29338459498873126</v>
      </c>
      <c r="J6" s="63">
        <f>IFERROR(DATAs!J27/DATAs!I27-1,0)</f>
        <v>6.4398598531439921E-2</v>
      </c>
      <c r="K6" s="63">
        <f>IFERROR(DATAs!K27/DATAs!J27-1,0)</f>
        <v>2.2105106498463645E-2</v>
      </c>
      <c r="L6" s="63">
        <f>IFERROR(DATAs!L27/DATAs!K27-1,0)</f>
        <v>6.6517061806221633E-2</v>
      </c>
      <c r="M6" s="62"/>
      <c r="N6" s="63">
        <f t="shared" si="0"/>
        <v>0.16079076136877279</v>
      </c>
      <c r="O6" s="63">
        <f t="shared" si="1"/>
        <v>6.6517061806221633E-2</v>
      </c>
    </row>
    <row r="7" spans="2:15" x14ac:dyDescent="0.25">
      <c r="B7" s="61" t="s">
        <v>155</v>
      </c>
      <c r="C7" s="62"/>
      <c r="D7" s="63">
        <f>IFERROR(DATAs!D34/DATAs!C34-1,0)</f>
        <v>0.22905356243353658</v>
      </c>
      <c r="E7" s="63">
        <f>IFERROR(DATAs!E34/DATAs!D34-1,0)</f>
        <v>3.3379630683758821E-2</v>
      </c>
      <c r="F7" s="63">
        <f>IFERROR(DATAs!F34/DATAs!E34-1,0)</f>
        <v>1.6282912856670606E-2</v>
      </c>
      <c r="G7" s="63">
        <f>IFERROR(DATAs!G34/DATAs!F34-1,0)</f>
        <v>0.45267106061920037</v>
      </c>
      <c r="H7" s="63">
        <f>IFERROR(DATAs!H34/DATAs!G34-1,0)</f>
        <v>0.29755384087279668</v>
      </c>
      <c r="I7" s="63">
        <f>IFERROR(DATAs!I34/DATAs!H34-1,0)</f>
        <v>1.8173452956061542E-2</v>
      </c>
      <c r="J7" s="63">
        <f>IFERROR(DATAs!J34/DATAs!I34-1,0)</f>
        <v>3.3913239945774887E-2</v>
      </c>
      <c r="K7" s="63">
        <f>IFERROR(DATAs!K34/DATAs!J34-1,0)</f>
        <v>5.9482965844277924E-2</v>
      </c>
      <c r="L7" s="63">
        <f>IFERROR(DATAs!L34/DATAs!K34-1,0)</f>
        <v>-1</v>
      </c>
      <c r="M7" s="62"/>
      <c r="N7" s="63">
        <f t="shared" si="0"/>
        <v>1.561229624578638E-2</v>
      </c>
      <c r="O7" s="63">
        <f t="shared" si="1"/>
        <v>3.3913239945774887E-2</v>
      </c>
    </row>
    <row r="8" spans="2:15" x14ac:dyDescent="0.25">
      <c r="B8" s="64" t="s">
        <v>154</v>
      </c>
      <c r="C8" s="65"/>
      <c r="D8" s="66">
        <f>IFERROR(DATAs!D43/DATAs!C43-1,0)</f>
        <v>0.12058974503172193</v>
      </c>
      <c r="E8" s="66">
        <f>IFERROR(DATAs!E43/DATAs!D43-1,0)</f>
        <v>8.3367615983582111E-2</v>
      </c>
      <c r="F8" s="66">
        <f>IFERROR(DATAs!F43/DATAs!E43-1,0)</f>
        <v>6.9605871424865962E-2</v>
      </c>
      <c r="G8" s="66">
        <f>IFERROR(DATAs!G43/DATAs!F43-1,0)</f>
        <v>0.16788694796885184</v>
      </c>
      <c r="H8" s="66">
        <f>IFERROR(DATAs!H43/DATAs!G43-1,0)</f>
        <v>0.12415714701001423</v>
      </c>
      <c r="I8" s="66">
        <f>IFERROR(DATAs!I43/DATAs!H43-1,0)</f>
        <v>0.12504988225291025</v>
      </c>
      <c r="J8" s="66">
        <f>IFERROR(DATAs!J43/DATAs!I43-1,0)</f>
        <v>0.11109468840376202</v>
      </c>
      <c r="K8" s="66">
        <f>IFERROR(DATAs!K43/DATAs!J43-1,0)</f>
        <v>9.9918713605864573E-2</v>
      </c>
      <c r="L8" s="66">
        <f>IFERROR(DATAs!L43/DATAs!K43-1,0)</f>
        <v>9.0901029508086539E-2</v>
      </c>
      <c r="M8" s="65"/>
      <c r="N8" s="66">
        <f>IFERROR(AVERAGE(C8:L8),0)</f>
        <v>0.11028573790996216</v>
      </c>
      <c r="O8" s="66">
        <f t="shared" si="1"/>
        <v>0.11109468840376202</v>
      </c>
    </row>
    <row r="9" spans="2:15" x14ac:dyDescent="0.25">
      <c r="O9" s="48"/>
    </row>
    <row r="10" spans="2:15" x14ac:dyDescent="0.25">
      <c r="O10" s="48"/>
    </row>
    <row r="11" spans="2:15" x14ac:dyDescent="0.25">
      <c r="B11" s="59" t="s">
        <v>156</v>
      </c>
      <c r="C11" s="60">
        <f>IFERROR(DATAs!C13,0)</f>
        <v>0.23192325154464163</v>
      </c>
      <c r="D11" s="60">
        <f>IFERROR(DATAs!D13,0)</f>
        <v>0.25355979561080078</v>
      </c>
      <c r="E11" s="60">
        <f>IFERROR(DATAs!E13,0)</f>
        <v>0.25446697997842826</v>
      </c>
      <c r="F11" s="60">
        <f>IFERROR(DATAs!F13,0)</f>
        <v>0.27637473415353986</v>
      </c>
      <c r="G11" s="60">
        <f>IFERROR(DATAs!G13,0)</f>
        <v>0.3274773915038805</v>
      </c>
      <c r="H11" s="60">
        <f>IFERROR(DATAs!H13,0)</f>
        <v>0.27582042198271706</v>
      </c>
      <c r="I11" s="60">
        <f>IFERROR(DATAs!I13,0)</f>
        <v>0.27749213825713492</v>
      </c>
      <c r="J11" s="60">
        <f>IFERROR(DATAs!J13,0)</f>
        <v>0.30397390107903866</v>
      </c>
      <c r="K11" s="60">
        <f>IFERROR(DATAs!K13,0)</f>
        <v>0.30218524750212916</v>
      </c>
      <c r="L11" s="60">
        <f>IFERROR(DATAs!L13,0)</f>
        <v>0.34860894478816595</v>
      </c>
      <c r="M11" s="82"/>
      <c r="N11" s="60">
        <f>IFERROR(AVERAGE(C11:L11),0)</f>
        <v>0.2851882806400477</v>
      </c>
      <c r="O11" s="60">
        <f t="shared" si="1"/>
        <v>0.27693343620533739</v>
      </c>
    </row>
    <row r="12" spans="2:15" x14ac:dyDescent="0.25">
      <c r="B12" s="61" t="s">
        <v>157</v>
      </c>
      <c r="C12" s="63">
        <f>IFERROR(DATAs!C19,0)</f>
        <v>0.1799449916763721</v>
      </c>
      <c r="D12" s="63">
        <f>IFERROR(DATAs!D19,0)</f>
        <v>0.18892951540723038</v>
      </c>
      <c r="E12" s="63">
        <f>IFERROR(DATAs!E19,0)</f>
        <v>0.1702123915916085</v>
      </c>
      <c r="F12" s="63">
        <f>IFERROR(DATAs!F19,0)</f>
        <v>0.17319362672391689</v>
      </c>
      <c r="G12" s="63">
        <f>IFERROR(DATAs!G19,0)</f>
        <v>0.20503016253240891</v>
      </c>
      <c r="H12" s="63">
        <f>IFERROR(DATAs!H19,0)</f>
        <v>0.18330782972708023</v>
      </c>
      <c r="I12" s="63">
        <f>IFERROR(DATAs!I19,0)</f>
        <v>0.19076992592389741</v>
      </c>
      <c r="J12" s="63">
        <f>IFERROR(DATAs!J19,0)</f>
        <v>0.209308585481641</v>
      </c>
      <c r="K12" s="63">
        <f>IFERROR(DATAs!K19,0)</f>
        <v>0.20165451486259114</v>
      </c>
      <c r="L12" s="63">
        <f>IFERROR(DATAs!L19,0)</f>
        <v>0.1979410131675651</v>
      </c>
      <c r="M12" s="62"/>
      <c r="N12" s="63">
        <f t="shared" ref="N12:O33" si="2">IFERROR(AVERAGE(C12:L12),0)</f>
        <v>0.19002925570943116</v>
      </c>
      <c r="O12" s="63">
        <f t="shared" si="1"/>
        <v>0.18984972066556388</v>
      </c>
    </row>
    <row r="13" spans="2:15" x14ac:dyDescent="0.25">
      <c r="B13" s="61" t="s">
        <v>174</v>
      </c>
      <c r="C13" s="63">
        <f>IFERROR((DATAs!C18-DATAs!C24)/DATAs!C5,0)</f>
        <v>0.14162998348434302</v>
      </c>
      <c r="D13" s="63">
        <f>IFERROR((DATAs!D18-DATAs!D24)/DATAs!D5,0)</f>
        <v>0.14618382234413022</v>
      </c>
      <c r="E13" s="63">
        <f>IFERROR((DATAs!E18-DATAs!E24)/DATAs!E5,0)</f>
        <v>0.13337861163359063</v>
      </c>
      <c r="F13" s="63">
        <f>IFERROR((DATAs!F18-DATAs!F24)/DATAs!F5,0)</f>
        <v>0.13598266404549181</v>
      </c>
      <c r="G13" s="63">
        <f>IFERROR((DATAs!G18-DATAs!G24)/DATAs!G5,0)</f>
        <v>0.14804624421250379</v>
      </c>
      <c r="H13" s="63">
        <f>IFERROR((DATAs!H18-DATAs!H24)/DATAs!H5,0)</f>
        <v>0.14043585974983913</v>
      </c>
      <c r="I13" s="63">
        <f>IFERROR((DATAs!I18-DATAs!I24)/DATAs!I5,0)</f>
        <v>0.14478272379152804</v>
      </c>
      <c r="J13" s="63">
        <f>IFERROR((DATAs!J18-DATAs!J24)/DATAs!J5,0)</f>
        <v>0.15276833870757842</v>
      </c>
      <c r="K13" s="63">
        <f>IFERROR((DATAs!K18-DATAs!K24)/DATAs!K5,0)</f>
        <v>0.14646662927650028</v>
      </c>
      <c r="L13" s="63">
        <f>IFERROR((DATAs!L18-DATAs!L24)/DATAs!L5,0)</f>
        <v>0.14337521365015196</v>
      </c>
      <c r="M13" s="62"/>
      <c r="N13" s="63">
        <f t="shared" si="2"/>
        <v>0.14330500908956573</v>
      </c>
      <c r="O13" s="63">
        <f t="shared" si="1"/>
        <v>0.14407896872084</v>
      </c>
    </row>
    <row r="14" spans="2:15" x14ac:dyDescent="0.25">
      <c r="B14" s="61" t="s">
        <v>158</v>
      </c>
      <c r="C14" s="63">
        <f>IFERROR(DATAs!C28,0)</f>
        <v>0.12896688314679194</v>
      </c>
      <c r="D14" s="63">
        <f>IFERROR(DATAs!D28,0)</f>
        <v>0.12558114542900495</v>
      </c>
      <c r="E14" s="63">
        <f>IFERROR(DATAs!E28,0)</f>
        <v>0.10435533846995708</v>
      </c>
      <c r="F14" s="63">
        <f>IFERROR(DATAs!F28,0)</f>
        <v>9.9066667337043876E-2</v>
      </c>
      <c r="G14" s="63">
        <f>IFERROR(DATAs!G28,0)</f>
        <v>0.1026062229389651</v>
      </c>
      <c r="H14" s="63">
        <f>IFERROR(DATAs!H28,0)</f>
        <v>0.11944180931171933</v>
      </c>
      <c r="I14" s="63">
        <f>IFERROR(DATAs!I28,0)</f>
        <v>0.12245149452987006</v>
      </c>
      <c r="J14" s="63">
        <f>IFERROR(DATAs!J28,0)</f>
        <v>0.12705427227456811</v>
      </c>
      <c r="K14" s="63">
        <f>IFERROR(DATAs!K28,0)</f>
        <v>0.12126046405350949</v>
      </c>
      <c r="L14" s="63">
        <f>IFERROR(DATAs!L28,0)</f>
        <v>0.11777881403947527</v>
      </c>
      <c r="M14" s="62"/>
      <c r="N14" s="63">
        <f t="shared" si="2"/>
        <v>0.11685631115309052</v>
      </c>
      <c r="O14" s="63">
        <f t="shared" si="1"/>
        <v>0.12035113668261441</v>
      </c>
    </row>
    <row r="15" spans="2:15" x14ac:dyDescent="0.25">
      <c r="B15" s="64" t="s">
        <v>159</v>
      </c>
      <c r="C15" s="66">
        <f>IFERROR(DATAs!C35,0)</f>
        <v>0.11756384189712916</v>
      </c>
      <c r="D15" s="66">
        <f>IFERROR(DATAs!D35,0)</f>
        <v>0.11237567901582046</v>
      </c>
      <c r="E15" s="66">
        <f>IFERROR(DATAs!E35,0)</f>
        <v>7.9855789786693457E-2</v>
      </c>
      <c r="F15" s="66">
        <f>IFERROR(DATAs!F35,0)</f>
        <v>7.7301195450149907E-2</v>
      </c>
      <c r="G15" s="66">
        <f>IFERROR(DATAs!G35,0)</f>
        <v>0.14368859999957109</v>
      </c>
      <c r="H15" s="66">
        <f>IFERROR(DATAs!H35,0)</f>
        <v>0.12515240983887382</v>
      </c>
      <c r="I15" s="66">
        <f>IFERROR(DATAs!I35,0)</f>
        <v>0.10100456871094803</v>
      </c>
      <c r="J15" s="66">
        <f>IFERROR(DATAs!J35,0)</f>
        <v>0.10179958422363385</v>
      </c>
      <c r="K15" s="66">
        <f>IFERROR(DATAs!K35,0)</f>
        <v>0.10071041316133857</v>
      </c>
      <c r="L15" s="66">
        <f>IFERROR(DATAs!L35,0)</f>
        <v>0</v>
      </c>
      <c r="M15" s="65"/>
      <c r="N15" s="66">
        <f t="shared" si="2"/>
        <v>9.594520820841583E-2</v>
      </c>
      <c r="O15" s="66">
        <f t="shared" si="1"/>
        <v>0.10140207646729094</v>
      </c>
    </row>
    <row r="16" spans="2:15" x14ac:dyDescent="0.25">
      <c r="N16" s="48"/>
      <c r="O16" s="48"/>
    </row>
    <row r="17" spans="2:26" x14ac:dyDescent="0.25">
      <c r="B17" s="59" t="s">
        <v>175</v>
      </c>
      <c r="C17" s="60">
        <f>IFERROR(DATAs!C16,0)</f>
        <v>5.1978259868269538E-2</v>
      </c>
      <c r="D17" s="60">
        <f>IFERROR(DATAs!D16,0)</f>
        <v>6.4630280203570409E-2</v>
      </c>
      <c r="E17" s="60">
        <f>IFERROR(DATAs!E16,0)</f>
        <v>8.425458838681979E-2</v>
      </c>
      <c r="F17" s="60">
        <f>IFERROR(DATAs!F16,0)</f>
        <v>0.10318110742962296</v>
      </c>
      <c r="G17" s="60">
        <f>IFERROR(DATAs!G16,0)</f>
        <v>0.12244722897147159</v>
      </c>
      <c r="H17" s="60">
        <f>IFERROR(DATAs!H16,0)</f>
        <v>9.2512592255636822E-2</v>
      </c>
      <c r="I17" s="60">
        <f>IFERROR(DATAs!I16,0)</f>
        <v>8.6722212333237486E-2</v>
      </c>
      <c r="J17" s="60">
        <f>IFERROR(DATAs!J16,0)</f>
        <v>9.4665315597397673E-2</v>
      </c>
      <c r="K17" s="60">
        <f>IFERROR(DATAs!K16,0)</f>
        <v>0.10053073263953802</v>
      </c>
      <c r="L17" s="60">
        <f>IFERROR(DATAs!L16,0)</f>
        <v>0.15066793162060085</v>
      </c>
      <c r="M17" s="82"/>
      <c r="N17" s="60">
        <f t="shared" si="2"/>
        <v>9.5159024930616523E-2</v>
      </c>
      <c r="O17" s="60">
        <f t="shared" si="1"/>
        <v>9.3588953926517254E-2</v>
      </c>
    </row>
    <row r="18" spans="2:26" x14ac:dyDescent="0.25">
      <c r="B18" s="61" t="s">
        <v>176</v>
      </c>
      <c r="C18" s="63">
        <f>IFERROR(DATAs!C25,0)</f>
        <v>3.8315008192029057E-2</v>
      </c>
      <c r="D18" s="63">
        <f>IFERROR(DATAs!D25,0)</f>
        <v>4.2745693063100179E-2</v>
      </c>
      <c r="E18" s="63">
        <f>IFERROR(DATAs!E25,0)</f>
        <v>3.6833779958017863E-2</v>
      </c>
      <c r="F18" s="63">
        <f>IFERROR(DATAs!F25,0)</f>
        <v>3.721096267842508E-2</v>
      </c>
      <c r="G18" s="63">
        <f>IFERROR(DATAs!G25,0)</f>
        <v>5.6983918319905125E-2</v>
      </c>
      <c r="H18" s="63">
        <f>IFERROR(DATAs!H25,0)</f>
        <v>4.2871969977241089E-2</v>
      </c>
      <c r="I18" s="63">
        <f>IFERROR(DATAs!I25,0)</f>
        <v>4.5987202132369384E-2</v>
      </c>
      <c r="J18" s="63">
        <f>IFERROR(DATAs!J25,0)</f>
        <v>5.6540246774062587E-2</v>
      </c>
      <c r="K18" s="63">
        <f>IFERROR(DATAs!K25,0)</f>
        <v>5.5187885586090855E-2</v>
      </c>
      <c r="L18" s="63">
        <f>IFERROR(DATAs!L25,0)</f>
        <v>5.4565799517413138E-2</v>
      </c>
      <c r="M18" s="62"/>
      <c r="N18" s="63">
        <f t="shared" si="2"/>
        <v>4.6724246619865441E-2</v>
      </c>
      <c r="O18" s="63">
        <f t="shared" si="1"/>
        <v>4.4429586054805237E-2</v>
      </c>
    </row>
    <row r="19" spans="2:26" x14ac:dyDescent="0.25">
      <c r="B19" s="64" t="s">
        <v>177</v>
      </c>
      <c r="C19" s="67">
        <f>'RATIO ANANLYSIS'!C13</f>
        <v>0.14162998348434302</v>
      </c>
      <c r="D19" s="67">
        <f>'RATIO ANANLYSIS'!D13</f>
        <v>0.14618382234413022</v>
      </c>
      <c r="E19" s="67">
        <f>'RATIO ANANLYSIS'!E13</f>
        <v>0.13337861163359063</v>
      </c>
      <c r="F19" s="67">
        <f>'RATIO ANANLYSIS'!F13</f>
        <v>0.13598266404549181</v>
      </c>
      <c r="G19" s="67">
        <f>'RATIO ANANLYSIS'!G13</f>
        <v>0.14804624421250379</v>
      </c>
      <c r="H19" s="67">
        <f>'RATIO ANANLYSIS'!H13</f>
        <v>0.14043585974983913</v>
      </c>
      <c r="I19" s="67">
        <f>'RATIO ANANLYSIS'!I13</f>
        <v>0.14478272379152804</v>
      </c>
      <c r="J19" s="67">
        <f>'RATIO ANANLYSIS'!J13</f>
        <v>0.15276833870757842</v>
      </c>
      <c r="K19" s="67">
        <f>'RATIO ANANLYSIS'!K13</f>
        <v>0.14646662927650028</v>
      </c>
      <c r="L19" s="67">
        <f>'RATIO ANANLYSIS'!L13</f>
        <v>0.14337521365015196</v>
      </c>
      <c r="M19" s="65"/>
      <c r="N19" s="66">
        <f t="shared" si="2"/>
        <v>0.14330500908956573</v>
      </c>
      <c r="O19" s="66">
        <f t="shared" si="1"/>
        <v>0.14407896872084</v>
      </c>
    </row>
    <row r="20" spans="2:26" x14ac:dyDescent="0.25">
      <c r="N20" s="48"/>
      <c r="O20" s="48"/>
    </row>
    <row r="21" spans="2:26" x14ac:dyDescent="0.25">
      <c r="B21" s="59" t="s">
        <v>160</v>
      </c>
      <c r="C21" s="60">
        <f>(DATAs!C18-DATAs!C24)/SUM(DATAs!C53,DATAs!C54,DATAs!C55)</f>
        <v>8.9464736982110799E-2</v>
      </c>
      <c r="D21" s="60">
        <f>(DATAs!D18-DATAs!D24)/SUM(DATAs!D53,DATAs!D54,DATAs!D55)</f>
        <v>0.10711935336899478</v>
      </c>
      <c r="E21" s="60">
        <f>(DATAs!E18-DATAs!E24)/SUM(DATAs!E53,DATAs!E54,DATAs!E55)</f>
        <v>0.10909781729526528</v>
      </c>
      <c r="F21" s="60">
        <f>(DATAs!F18-DATAs!F24)/SUM(DATAs!F53,DATAs!F54,DATAs!F55)</f>
        <v>0.10088039398283474</v>
      </c>
      <c r="G21" s="60">
        <f>(DATAs!G18-DATAs!G24)/SUM(DATAs!G53,DATAs!G54,DATAs!G55)</f>
        <v>7.0506181993475872E-2</v>
      </c>
      <c r="H21" s="60">
        <f>(DATAs!H18-DATAs!H24)/SUM(DATAs!H53,DATAs!H54,DATAs!H55)</f>
        <v>8.8797725921887269E-2</v>
      </c>
      <c r="I21" s="60">
        <f>(DATAs!I18-DATAs!I24)/SUM(DATAs!I53,DATAs!I54,DATAs!I55)</f>
        <v>0.10867930410711105</v>
      </c>
      <c r="J21" s="60">
        <f>(DATAs!J18-DATAs!J24)/SUM(DATAs!J53,DATAs!J54,DATAs!J55)</f>
        <v>0.1200358328963468</v>
      </c>
      <c r="K21" s="60">
        <f>(DATAs!K18-DATAs!K24)/SUM(DATAs!K53,DATAs!K54,DATAs!K55)</f>
        <v>0.1158270999981109</v>
      </c>
      <c r="L21" s="60">
        <f>(DATAs!L18-DATAs!L24)/SUM(DATAs!L53,DATAs!L54,DATAs!L55)</f>
        <v>0.11641744045836118</v>
      </c>
      <c r="M21" s="82"/>
      <c r="N21" s="60">
        <f t="shared" si="2"/>
        <v>0.10268258870044986</v>
      </c>
      <c r="O21" s="60">
        <f>IFERROR(MEDIAN(C21:L21),0)</f>
        <v>0.10789932873805291</v>
      </c>
    </row>
    <row r="22" spans="2:26" x14ac:dyDescent="0.25">
      <c r="B22" s="61" t="s">
        <v>161</v>
      </c>
      <c r="C22" s="63">
        <f>IFERROR(DATAs!C48,)</f>
        <v>0.90891307997985116</v>
      </c>
      <c r="D22" s="63">
        <f>IFERROR(DATAs!D48,)</f>
        <v>0.91909651859104258</v>
      </c>
      <c r="E22" s="63">
        <f>IFERROR(DATAs!E48,)</f>
        <v>0.915128346369946</v>
      </c>
      <c r="F22" s="63">
        <f>IFERROR(DATAs!F48,)</f>
        <v>0.91066798196166854</v>
      </c>
      <c r="G22" s="63">
        <f>IFERROR(DATAs!G48,)</f>
        <v>0.93266719400623854</v>
      </c>
      <c r="H22" s="63">
        <f>IFERROR(DATAs!H48,)</f>
        <v>0.93775017253278126</v>
      </c>
      <c r="I22" s="63">
        <f>IFERROR(DATAs!I48,)</f>
        <v>0.931208766380479</v>
      </c>
      <c r="J22" s="63">
        <f>IFERROR(DATAs!J48,)</f>
        <v>0.92607241974607202</v>
      </c>
      <c r="K22" s="63">
        <f>IFERROR(DATAs!K48,)</f>
        <v>0.92324526122558426</v>
      </c>
      <c r="L22" s="63">
        <f>IFERROR(DATAs!L48,)</f>
        <v>1</v>
      </c>
      <c r="M22" s="62"/>
      <c r="N22" s="63">
        <f t="shared" si="2"/>
        <v>0.93047497407936641</v>
      </c>
      <c r="O22" s="63">
        <f t="shared" si="1"/>
        <v>0.92465884048582814</v>
      </c>
    </row>
    <row r="23" spans="2:26" x14ac:dyDescent="0.25">
      <c r="B23" s="61" t="s">
        <v>162</v>
      </c>
      <c r="C23" s="63">
        <f>IFERROR(DATAs!C34/SUM(DATAs!C53:C54),0)</f>
        <v>0.13550542453992848</v>
      </c>
      <c r="D23" s="63">
        <f>IFERROR(DATAs!D34/SUM(DATAs!D53:D54),0)</f>
        <v>0.14963578257343974</v>
      </c>
      <c r="E23" s="63">
        <f>IFERROR(DATAs!E34/SUM(DATAs!E53:E54),0)</f>
        <v>0.11723997189443881</v>
      </c>
      <c r="F23" s="63">
        <f>IFERROR(DATAs!F34/SUM(DATAs!F53:F54),0)</f>
        <v>0.10268809304355182</v>
      </c>
      <c r="G23" s="63">
        <f>IFERROR(DATAs!G34/SUM(DATAs!G53:G54),0)</f>
        <v>9.5695057785801202E-2</v>
      </c>
      <c r="H23" s="63">
        <f>IFERROR(DATAs!H34/SUM(DATAs!H53:H54),0)</f>
        <v>0.11153518027928697</v>
      </c>
      <c r="I23" s="63">
        <f>IFERROR(DATAs!I34/SUM(DATAs!I53:I54),0)</f>
        <v>0.12365339055026597</v>
      </c>
      <c r="J23" s="63">
        <f>IFERROR(DATAs!J34/SUM(DATAs!J53:J54),0)</f>
        <v>0.11534239635227561</v>
      </c>
      <c r="K23" s="63">
        <f>IFERROR(DATAs!K34/SUM(DATAs!K53:K54),0)</f>
        <v>0.11499762808349145</v>
      </c>
      <c r="L23" s="63">
        <f>IFERROR(DATAs!L34/SUM(DATAs!L53:L54),0)</f>
        <v>0</v>
      </c>
      <c r="M23" s="62"/>
      <c r="N23" s="63">
        <f t="shared" si="2"/>
        <v>0.10662929251024802</v>
      </c>
      <c r="O23" s="63">
        <f t="shared" si="1"/>
        <v>0.11517001221788353</v>
      </c>
    </row>
    <row r="24" spans="2:26" x14ac:dyDescent="0.25">
      <c r="B24" s="61" t="s">
        <v>163</v>
      </c>
      <c r="C24" s="63">
        <f>IFERROR(C22*C23,0)</f>
        <v>0.12316265277256369</v>
      </c>
      <c r="D24" s="63">
        <f t="shared" ref="D24:L24" si="3">IFERROR(D22*D23,0)</f>
        <v>0.13752972681989467</v>
      </c>
      <c r="E24" s="63">
        <f t="shared" si="3"/>
        <v>0.10728962160821674</v>
      </c>
      <c r="F24" s="63">
        <f t="shared" si="3"/>
        <v>9.3514758463463396E-2</v>
      </c>
      <c r="G24" s="63">
        <f t="shared" si="3"/>
        <v>8.9251641025348064E-2</v>
      </c>
      <c r="H24" s="63">
        <f t="shared" si="3"/>
        <v>0.10459213455037622</v>
      </c>
      <c r="I24" s="63">
        <f t="shared" si="3"/>
        <v>0.11514712127307676</v>
      </c>
      <c r="J24" s="63">
        <f t="shared" si="3"/>
        <v>0.10681541208926239</v>
      </c>
      <c r="K24" s="63">
        <f t="shared" si="3"/>
        <v>0.10617101518026566</v>
      </c>
      <c r="L24" s="63">
        <f t="shared" si="3"/>
        <v>0</v>
      </c>
      <c r="M24" s="62"/>
      <c r="N24" s="63">
        <f t="shared" si="2"/>
        <v>9.8347408378246765E-2</v>
      </c>
      <c r="O24" s="63">
        <f t="shared" si="1"/>
        <v>0.10649321363476402</v>
      </c>
    </row>
    <row r="25" spans="2:26" x14ac:dyDescent="0.25">
      <c r="B25" s="64" t="s">
        <v>164</v>
      </c>
      <c r="C25" s="68">
        <f>IFERROR((DATAs!C18-DATAs!C24)/DATAs!C21,0)</f>
        <v>11.18446349701221</v>
      </c>
      <c r="D25" s="68">
        <f>IFERROR((DATAs!D18-DATAs!D24)/DATAs!D21,0)</f>
        <v>7.0953800298062593</v>
      </c>
      <c r="E25" s="68">
        <f>IFERROR((DATAs!E18-DATAs!E24)/DATAs!E21,0)</f>
        <v>4.5955744164898453</v>
      </c>
      <c r="F25" s="68">
        <f>IFERROR((DATAs!F18-DATAs!F24)/DATAs!F21,0)</f>
        <v>3.6835701638897715</v>
      </c>
      <c r="G25" s="68">
        <f>IFERROR((DATAs!G18-DATAs!G24)/DATAs!G21,0)</f>
        <v>3.2580584265420738</v>
      </c>
      <c r="H25" s="68">
        <f>IFERROR((DATAs!H18-DATAs!H24)/DATAs!H21,0)</f>
        <v>6.6893170597915521</v>
      </c>
      <c r="I25" s="68">
        <f>IFERROR((DATAs!I18-DATAs!I24)/DATAs!I21,0)</f>
        <v>6.4834193449491595</v>
      </c>
      <c r="J25" s="68">
        <f>IFERROR((DATAs!J18-DATAs!J24)/DATAs!J21,0)</f>
        <v>5.9410416125962451</v>
      </c>
      <c r="K25" s="68">
        <f>IFERROR((DATAs!K18-DATAs!K24)/DATAs!K21,0)</f>
        <v>5.8107462194569202</v>
      </c>
      <c r="L25" s="68">
        <f>IFERROR((DATAs!L18-DATAs!L24)/DATAs!L21,0)</f>
        <v>5.6013820627471267</v>
      </c>
      <c r="M25" s="65"/>
      <c r="N25" s="66">
        <f t="shared" si="2"/>
        <v>6.0342952833281167</v>
      </c>
      <c r="O25" s="66">
        <f t="shared" si="1"/>
        <v>5.8758939160265822</v>
      </c>
    </row>
    <row r="26" spans="2:26" x14ac:dyDescent="0.25">
      <c r="I26" s="69"/>
      <c r="N26" s="48"/>
      <c r="O26" s="48"/>
    </row>
    <row r="27" spans="2:26" x14ac:dyDescent="0.25">
      <c r="B27" s="59" t="s">
        <v>165</v>
      </c>
      <c r="C27" s="70">
        <f>IFERROR(DATAs!C5/DATAs!C67,0)</f>
        <v>37.171823407117522</v>
      </c>
      <c r="D27" s="71">
        <f>IFERROR(DATAs!D5/DATAs!D67,0)</f>
        <v>22.262774138422103</v>
      </c>
      <c r="E27" s="71">
        <f>IFERROR(DATAs!E5/DATAs!E67,0)</f>
        <v>18.88853069227957</v>
      </c>
      <c r="F27" s="71">
        <f>IFERROR(DATAs!F5/DATAs!F67,0)</f>
        <v>30.356074481074479</v>
      </c>
      <c r="G27" s="71">
        <f>IFERROR(DATAs!G5/DATAs!G67,0)</f>
        <v>24.524403071421059</v>
      </c>
      <c r="H27" s="71">
        <f>IFERROR(DATAs!H5/DATAs!H67,0)</f>
        <v>29.385490693739424</v>
      </c>
      <c r="I27" s="71">
        <f>IFERROR(DATAs!I5/DATAs!I67,0)</f>
        <v>30.806946006749158</v>
      </c>
      <c r="J27" s="71">
        <f>IFERROR(DATAs!J5/DATAs!J67,0)</f>
        <v>28.425477425066397</v>
      </c>
      <c r="K27" s="71">
        <f>IFERROR(DATAs!K5/DATAs!K67,0)</f>
        <v>22.858431661166637</v>
      </c>
      <c r="L27" s="71">
        <f>IFERROR(DATAs!L5/DATAs!L67,0)</f>
        <v>18.074900412029201</v>
      </c>
      <c r="M27" s="82"/>
      <c r="N27" s="70">
        <f t="shared" si="2"/>
        <v>26.275485198906559</v>
      </c>
      <c r="O27" s="70">
        <f t="shared" si="1"/>
        <v>26.474940248243726</v>
      </c>
    </row>
    <row r="28" spans="2:26" x14ac:dyDescent="0.25">
      <c r="B28" s="61" t="s">
        <v>166</v>
      </c>
      <c r="C28" s="72">
        <f>IFERROR(DATAs!C5/DATAs!C56,0)</f>
        <v>1.3472063399196872</v>
      </c>
      <c r="D28" s="72">
        <f>IFERROR(DATAs!D5/DATAs!D56,0)</f>
        <v>1.4062225644420776</v>
      </c>
      <c r="E28" s="72">
        <f>IFERROR(DATAs!E5/DATAs!E56,0)</f>
        <v>1.8769137792103143</v>
      </c>
      <c r="F28" s="72">
        <f>IFERROR(DATAs!F5/DATAs!F56,0)</f>
        <v>1.6633743685812732</v>
      </c>
      <c r="G28" s="72">
        <f>IFERROR(DATAs!G5/DATAs!G56,0)</f>
        <v>1.3677459661925726</v>
      </c>
      <c r="H28" s="72">
        <f>IFERROR(DATAs!H5/DATAs!H56,0)</f>
        <v>1.7367736806182326</v>
      </c>
      <c r="I28" s="72">
        <f>IFERROR(DATAs!I5/DATAs!I56,0)</f>
        <v>1.9993247343422775</v>
      </c>
      <c r="J28" s="72">
        <f>IFERROR(DATAs!J5/DATAs!J56,0)</f>
        <v>1.4717916732149405</v>
      </c>
      <c r="K28" s="72">
        <f>IFERROR(DATAs!K5/DATAs!K56,0)</f>
        <v>1.3149685878175361</v>
      </c>
      <c r="L28" s="72">
        <f>IFERROR(DATAs!L5/DATAs!L56,0)</f>
        <v>1.2067194758649029</v>
      </c>
      <c r="M28" s="62"/>
      <c r="N28" s="72">
        <f t="shared" si="2"/>
        <v>1.5391041170203814</v>
      </c>
      <c r="O28" s="72">
        <f t="shared" si="1"/>
        <v>1.439007118828509</v>
      </c>
    </row>
    <row r="29" spans="2:26" x14ac:dyDescent="0.25">
      <c r="B29" s="61" t="s">
        <v>167</v>
      </c>
      <c r="C29" s="72">
        <f>IFERROR(DATAs!C5/DATAs!C68,0)</f>
        <v>6.2093522093522093</v>
      </c>
      <c r="D29" s="72">
        <f>IFERROR(DATAs!D5/DATAs!D68,0)</f>
        <v>6.4241004651774416</v>
      </c>
      <c r="E29" s="72">
        <f>IFERROR(DATAs!E5/DATAs!E68,0)</f>
        <v>8.41220526635189</v>
      </c>
      <c r="F29" s="72">
        <f>IFERROR(DATAs!F5/DATAs!F68,0)</f>
        <v>8.0738129710566557</v>
      </c>
      <c r="G29" s="72">
        <f>IFERROR(DATAs!G5/DATAs!G68,0)</f>
        <v>5.7095087667744151</v>
      </c>
      <c r="H29" s="72">
        <f>IFERROR(DATAs!H5/DATAs!H68,0)</f>
        <v>6.4454062981313438</v>
      </c>
      <c r="I29" s="72">
        <f>IFERROR(DATAs!I5/DATAs!I68,0)</f>
        <v>6.2596137363579221</v>
      </c>
      <c r="J29" s="72">
        <f>IFERROR(DATAs!J5/DATAs!J68,0)</f>
        <v>5.8849315965176405</v>
      </c>
      <c r="K29" s="72">
        <f>IFERROR(DATAs!K5/DATAs!K68,0)</f>
        <v>6.5918582519751885</v>
      </c>
      <c r="L29" s="72">
        <f>IFERROR(DATAs!L5/DATAs!L68,0)</f>
        <v>6.3328900629563742</v>
      </c>
      <c r="M29" s="62"/>
      <c r="N29" s="72">
        <f t="shared" si="2"/>
        <v>6.6343679624651077</v>
      </c>
      <c r="O29" s="72">
        <f t="shared" si="1"/>
        <v>6.3784952640669079</v>
      </c>
    </row>
    <row r="30" spans="2:26" x14ac:dyDescent="0.25">
      <c r="B30" s="61" t="s">
        <v>168</v>
      </c>
      <c r="C30" s="72">
        <f>IFERROR(DATAs!C5/DATAs!C60,0)</f>
        <v>1.5310538669997884</v>
      </c>
      <c r="D30" s="72">
        <f>IFERROR(DATAs!D5/DATAs!D60,0)</f>
        <v>0.96765911088552437</v>
      </c>
      <c r="E30" s="72">
        <f>IFERROR(DATAs!E5/DATAs!E60,0)</f>
        <v>1.4266417989125797</v>
      </c>
      <c r="F30" s="72">
        <f>IFERROR(DATAs!F5/DATAs!F60,0)</f>
        <v>1.1201915675724385</v>
      </c>
      <c r="G30" s="72">
        <f>IFERROR(DATAs!G5/DATAs!G60,0)</f>
        <v>0.86152444859937405</v>
      </c>
      <c r="H30" s="72">
        <f>IFERROR(DATAs!H5/DATAs!H60,0)</f>
        <v>1.1065231173084336</v>
      </c>
      <c r="I30" s="72">
        <f>IFERROR(DATAs!I5/DATAs!I60,0)</f>
        <v>1.2091472878912259</v>
      </c>
      <c r="J30" s="72">
        <f>IFERROR(DATAs!J5/DATAs!J60,0)</f>
        <v>1.1526388327980666</v>
      </c>
      <c r="K30" s="72">
        <f>IFERROR(DATAs!K5/DATAs!K60,0)</f>
        <v>0.9634047867055302</v>
      </c>
      <c r="L30" s="72">
        <f>IFERROR(DATAs!L5/DATAs!L60,0)</f>
        <v>0.9034561790609078</v>
      </c>
      <c r="M30" s="62"/>
      <c r="N30" s="72">
        <f t="shared" si="2"/>
        <v>1.124224099673387</v>
      </c>
      <c r="O30" s="72">
        <f t="shared" si="1"/>
        <v>1.1133573424404362</v>
      </c>
    </row>
    <row r="31" spans="2:26" x14ac:dyDescent="0.25">
      <c r="B31" s="64" t="s">
        <v>169</v>
      </c>
      <c r="C31" s="73">
        <f>IFERROR(DATAs!C5/SUM(DATAs!C53:C54),0)</f>
        <v>1.1526114012035995</v>
      </c>
      <c r="D31" s="73">
        <f>IFERROR(DATAs!D5/SUM(DATAs!D53:D54),0)</f>
        <v>1.3315673274140905</v>
      </c>
      <c r="E31" s="73">
        <f>IFERROR(DATAs!E5/SUM(DATAs!E53:E54),0)</f>
        <v>1.4681461695839964</v>
      </c>
      <c r="F31" s="73">
        <f>IFERROR(DATAs!F5/SUM(DATAs!F53:F54),0)</f>
        <v>1.3284153297444596</v>
      </c>
      <c r="G31" s="73">
        <f>IFERROR(DATAs!G5/SUM(DATAs!G53:G54),0)</f>
        <v>0.66598921407882639</v>
      </c>
      <c r="H31" s="73">
        <f>IFERROR(DATAs!H5/SUM(DATAs!H53:H54),0)</f>
        <v>0.89119482735395805</v>
      </c>
      <c r="I31" s="73">
        <f>IFERROR(DATAs!I5/SUM(DATAs!I53:I54),0)</f>
        <v>1.224235617540566</v>
      </c>
      <c r="J31" s="73">
        <f>IFERROR(DATAs!J5/SUM(DATAs!J53:J54),0)</f>
        <v>1.133034061307076</v>
      </c>
      <c r="K31" s="73">
        <f>IFERROR(DATAs!K5/SUM(DATAs!K53:K54),0)</f>
        <v>1.1418643263757116</v>
      </c>
      <c r="L31" s="73">
        <f>IFERROR(DATAs!L5/SUM(DATAs!L53:L54),0)</f>
        <v>1.1694512350253863</v>
      </c>
      <c r="M31" s="65"/>
      <c r="N31" s="73">
        <f t="shared" si="2"/>
        <v>1.1506509509627671</v>
      </c>
      <c r="O31" s="73">
        <f t="shared" si="1"/>
        <v>1.1610313181144929</v>
      </c>
    </row>
    <row r="32" spans="2:26" x14ac:dyDescent="0.25">
      <c r="N32" s="48"/>
      <c r="O32" s="48"/>
      <c r="Z32" s="57" t="s">
        <v>170</v>
      </c>
    </row>
    <row r="33" spans="2:15" x14ac:dyDescent="0.25">
      <c r="B33" s="59" t="s">
        <v>46</v>
      </c>
      <c r="C33" s="74">
        <f>IFERROR(365/C27,0)</f>
        <v>9.8192654151615049</v>
      </c>
      <c r="D33" s="74">
        <f t="shared" ref="D33:L33" si="4">IFERROR(365/D27,0)</f>
        <v>16.395081661007669</v>
      </c>
      <c r="E33" s="74">
        <f t="shared" si="4"/>
        <v>19.323895857563382</v>
      </c>
      <c r="F33" s="74">
        <f t="shared" si="4"/>
        <v>12.023952577516555</v>
      </c>
      <c r="G33" s="74">
        <f t="shared" si="4"/>
        <v>14.883134930421374</v>
      </c>
      <c r="H33" s="74">
        <f t="shared" si="4"/>
        <v>12.421095968894718</v>
      </c>
      <c r="I33" s="74">
        <f t="shared" si="4"/>
        <v>11.847977398345041</v>
      </c>
      <c r="J33" s="74">
        <f t="shared" si="4"/>
        <v>12.840593476826974</v>
      </c>
      <c r="K33" s="74">
        <f t="shared" si="4"/>
        <v>15.967849649986499</v>
      </c>
      <c r="L33" s="74">
        <f t="shared" si="4"/>
        <v>20.193748882681827</v>
      </c>
      <c r="M33" s="82"/>
      <c r="N33" s="74">
        <f t="shared" si="2"/>
        <v>14.571659581840555</v>
      </c>
      <c r="O33" s="74">
        <f t="shared" si="2"/>
        <v>15.099703378138226</v>
      </c>
    </row>
    <row r="34" spans="2:15" x14ac:dyDescent="0.25">
      <c r="B34" s="61" t="s">
        <v>171</v>
      </c>
      <c r="C34" s="75">
        <f>IFERROR(365/C28,0)</f>
        <v>270.93102903728857</v>
      </c>
      <c r="D34" s="75">
        <f t="shared" ref="D34:L34" si="5">IFERROR(365/D28,0)</f>
        <v>259.56061951318117</v>
      </c>
      <c r="E34" s="75">
        <f t="shared" si="5"/>
        <v>194.46817645164751</v>
      </c>
      <c r="F34" s="75">
        <f t="shared" si="5"/>
        <v>219.43346422448252</v>
      </c>
      <c r="G34" s="75">
        <f t="shared" si="5"/>
        <v>266.86242110884035</v>
      </c>
      <c r="H34" s="75">
        <f t="shared" si="5"/>
        <v>210.15979460839847</v>
      </c>
      <c r="I34" s="75">
        <f t="shared" si="5"/>
        <v>182.56163880255045</v>
      </c>
      <c r="J34" s="75">
        <f t="shared" si="5"/>
        <v>247.99705463933236</v>
      </c>
      <c r="K34" s="75">
        <f t="shared" si="5"/>
        <v>277.57317047838643</v>
      </c>
      <c r="L34" s="75">
        <f t="shared" si="5"/>
        <v>302.47295025912319</v>
      </c>
      <c r="M34" s="62"/>
      <c r="N34" s="75">
        <f t="shared" ref="N34:N36" si="6">IFERROR(AVERAGE(C34:L34),0)</f>
        <v>243.20203191232312</v>
      </c>
      <c r="O34" s="75">
        <f t="shared" ref="O34:O36" si="7">IFERROR(AVERAGE(D34:M34),0)</f>
        <v>240.12103223177141</v>
      </c>
    </row>
    <row r="35" spans="2:15" x14ac:dyDescent="0.25">
      <c r="B35" s="61" t="s">
        <v>172</v>
      </c>
      <c r="C35" s="75">
        <f>IFERROR(365/C29,0)</f>
        <v>58.782299295288105</v>
      </c>
      <c r="D35" s="75">
        <f t="shared" ref="D35:L35" si="8">IFERROR(365/D29,0)</f>
        <v>56.817293250397235</v>
      </c>
      <c r="E35" s="75">
        <f t="shared" si="8"/>
        <v>43.389335904577742</v>
      </c>
      <c r="F35" s="75">
        <f t="shared" si="8"/>
        <v>45.207883971113446</v>
      </c>
      <c r="G35" s="75">
        <f t="shared" si="8"/>
        <v>63.928441992078177</v>
      </c>
      <c r="H35" s="75">
        <f t="shared" si="8"/>
        <v>56.629478905902495</v>
      </c>
      <c r="I35" s="75">
        <f t="shared" si="8"/>
        <v>58.310307212721192</v>
      </c>
      <c r="J35" s="75">
        <f t="shared" si="8"/>
        <v>62.022810973025706</v>
      </c>
      <c r="K35" s="75">
        <f t="shared" si="8"/>
        <v>55.371336283002016</v>
      </c>
      <c r="L35" s="75">
        <f t="shared" si="8"/>
        <v>57.635612867343468</v>
      </c>
      <c r="M35" s="62"/>
      <c r="N35" s="75">
        <f t="shared" si="6"/>
        <v>55.809480065544946</v>
      </c>
      <c r="O35" s="75">
        <f t="shared" si="7"/>
        <v>55.479166817795715</v>
      </c>
    </row>
    <row r="36" spans="2:15" x14ac:dyDescent="0.25">
      <c r="B36" s="64" t="s">
        <v>178</v>
      </c>
      <c r="C36" s="76">
        <f>IFERROR(C33+C35-C34,0)</f>
        <v>-202.32946432683894</v>
      </c>
      <c r="D36" s="76">
        <f t="shared" ref="D36:L36" si="9">IFERROR(D33+D35-D34,0)</f>
        <v>-186.34824460177626</v>
      </c>
      <c r="E36" s="76">
        <f t="shared" si="9"/>
        <v>-131.75494468950637</v>
      </c>
      <c r="F36" s="76">
        <f t="shared" si="9"/>
        <v>-162.20162767585254</v>
      </c>
      <c r="G36" s="76">
        <f t="shared" si="9"/>
        <v>-188.05084418634078</v>
      </c>
      <c r="H36" s="76">
        <f t="shared" si="9"/>
        <v>-141.10921973360126</v>
      </c>
      <c r="I36" s="76">
        <f t="shared" si="9"/>
        <v>-112.40335419148421</v>
      </c>
      <c r="J36" s="76">
        <f t="shared" si="9"/>
        <v>-173.13365018947968</v>
      </c>
      <c r="K36" s="76">
        <f t="shared" si="9"/>
        <v>-206.2339845453979</v>
      </c>
      <c r="L36" s="76">
        <f t="shared" si="9"/>
        <v>-224.6435885090979</v>
      </c>
      <c r="M36" s="65"/>
      <c r="N36" s="76">
        <f t="shared" si="6"/>
        <v>-172.82089226493761</v>
      </c>
      <c r="O36" s="76">
        <f t="shared" si="7"/>
        <v>-169.54216203583744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F2565808-3488-4123-96CD-E91C1C1DFB78}">
          <x14:colorSeries rgb="FF376092"/>
          <x14:colorNegative rgb="FFD00000"/>
          <x14:colorAxis rgb="FF000000"/>
          <x14:colorMarkers theme="5" tint="0.39997558519241921"/>
          <x14:colorFirst rgb="FFD00000"/>
          <x14:colorLast rgb="FFD00000"/>
          <x14:colorHigh rgb="FFD00000"/>
          <x14:colorLow rgb="FFD00000"/>
          <x14:sparklines>
            <x14:sparkline>
              <xm:f>'RATIO ANANLYSIS'!C11:L11</xm:f>
              <xm:sqref>M11</xm:sqref>
            </x14:sparkline>
            <x14:sparkline>
              <xm:f>'RATIO ANANLYSIS'!C12:L12</xm:f>
              <xm:sqref>M12</xm:sqref>
            </x14:sparkline>
            <x14:sparkline>
              <xm:f>'RATIO ANANLYSIS'!C13:L13</xm:f>
              <xm:sqref>M13</xm:sqref>
            </x14:sparkline>
            <x14:sparkline>
              <xm:f>'RATIO ANANLYSIS'!C14:L14</xm:f>
              <xm:sqref>M14</xm:sqref>
            </x14:sparkline>
            <x14:sparkline>
              <xm:f>'RATIO ANANLYSIS'!C15:L15</xm:f>
              <xm:sqref>M15</xm:sqref>
            </x14:sparkline>
            <x14:sparkline>
              <xm:f>'RATIO ANANLYSIS'!C16:L16</xm:f>
              <xm:sqref>M16</xm:sqref>
            </x14:sparkline>
            <x14:sparkline>
              <xm:f>'RATIO ANANLYSIS'!C17:L17</xm:f>
              <xm:sqref>M17</xm:sqref>
            </x14:sparkline>
            <x14:sparkline>
              <xm:f>'RATIO ANANLYSIS'!C18:L18</xm:f>
              <xm:sqref>M18</xm:sqref>
            </x14:sparkline>
            <x14:sparkline>
              <xm:f>'RATIO ANANLYSIS'!C19:L19</xm:f>
              <xm:sqref>M19</xm:sqref>
            </x14:sparkline>
            <x14:sparkline>
              <xm:f>'RATIO ANANLYSIS'!C20:L20</xm:f>
              <xm:sqref>M20</xm:sqref>
            </x14:sparkline>
            <x14:sparkline>
              <xm:f>'RATIO ANANLYSIS'!C21:L21</xm:f>
              <xm:sqref>M21</xm:sqref>
            </x14:sparkline>
            <x14:sparkline>
              <xm:f>'RATIO ANANLYSIS'!C22:L22</xm:f>
              <xm:sqref>M22</xm:sqref>
            </x14:sparkline>
            <x14:sparkline>
              <xm:f>'RATIO ANANLYSIS'!C23:L23</xm:f>
              <xm:sqref>M23</xm:sqref>
            </x14:sparkline>
            <x14:sparkline>
              <xm:f>'RATIO ANANLYSIS'!C24:L24</xm:f>
              <xm:sqref>M24</xm:sqref>
            </x14:sparkline>
            <x14:sparkline>
              <xm:f>'RATIO ANANLYSIS'!C25:L25</xm:f>
              <xm:sqref>M25</xm:sqref>
            </x14:sparkline>
            <x14:sparkline>
              <xm:f>'RATIO ANANLYSIS'!C26:L26</xm:f>
              <xm:sqref>M26</xm:sqref>
            </x14:sparkline>
            <x14:sparkline>
              <xm:f>'RATIO ANANLYSIS'!C27:L27</xm:f>
              <xm:sqref>M27</xm:sqref>
            </x14:sparkline>
            <x14:sparkline>
              <xm:f>'RATIO ANANLYSIS'!C28:L28</xm:f>
              <xm:sqref>M28</xm:sqref>
            </x14:sparkline>
            <x14:sparkline>
              <xm:f>'RATIO ANANLYSIS'!C29:L29</xm:f>
              <xm:sqref>M29</xm:sqref>
            </x14:sparkline>
            <x14:sparkline>
              <xm:f>'RATIO ANANLYSIS'!C30:L30</xm:f>
              <xm:sqref>M30</xm:sqref>
            </x14:sparkline>
            <x14:sparkline>
              <xm:f>'RATIO ANANLYSIS'!C31:L31</xm:f>
              <xm:sqref>M31</xm:sqref>
            </x14:sparkline>
            <x14:sparkline>
              <xm:f>'RATIO ANANLYSIS'!AA32:AJ32</xm:f>
              <xm:sqref>AK32</xm:sqref>
            </x14:sparkline>
            <x14:sparkline>
              <xm:f>'RATIO ANANLYSIS'!C33:L33</xm:f>
              <xm:sqref>M33</xm:sqref>
            </x14:sparkline>
            <x14:sparkline>
              <xm:f>'RATIO ANANLYSIS'!C34:L34</xm:f>
              <xm:sqref>M34</xm:sqref>
            </x14:sparkline>
            <x14:sparkline>
              <xm:f>'RATIO ANANLYSIS'!C35:L35</xm:f>
              <xm:sqref>M35</xm:sqref>
            </x14:sparkline>
            <x14:sparkline>
              <xm:f>'RATIO ANANLYSIS'!C36:L36</xm:f>
              <xm:sqref>M36</xm:sqref>
            </x14:sparkline>
          </x14:sparklines>
        </x14:sparklineGroup>
        <x14:sparklineGroup displayEmptyCellsAs="gap" markers="1" xr2:uid="{35105506-0B45-4C7E-AD13-A1B139168E43}">
          <x14:colorSeries rgb="FF376092"/>
          <x14:colorNegative rgb="FFD00000"/>
          <x14:colorAxis rgb="FF000000"/>
          <x14:colorMarkers theme="5" tint="0.39997558519241921"/>
          <x14:colorFirst rgb="FFD00000"/>
          <x14:colorLast rgb="FFD00000"/>
          <x14:colorHigh rgb="FFD00000"/>
          <x14:colorLow rgb="FFD00000"/>
          <x14:sparklines>
            <x14:sparkline>
              <xm:f>'RATIO ANANLYSIS'!D4:L4</xm:f>
              <xm:sqref>M4</xm:sqref>
            </x14:sparkline>
            <x14:sparkline>
              <xm:f>'RATIO ANANLYSIS'!D5:L5</xm:f>
              <xm:sqref>M5</xm:sqref>
            </x14:sparkline>
            <x14:sparkline>
              <xm:f>'RATIO ANANLYSIS'!D6:L6</xm:f>
              <xm:sqref>M6</xm:sqref>
            </x14:sparkline>
            <x14:sparkline>
              <xm:f>'RATIO ANANLYSIS'!D7:L7</xm:f>
              <xm:sqref>M7</xm:sqref>
            </x14:sparkline>
            <x14:sparkline>
              <xm:f>'RATIO ANANLYSIS'!D8:L8</xm:f>
              <xm:sqref>M8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940C9-659D-40FE-AB49-2D8AC9CF3174}">
  <sheetPr>
    <tabColor rgb="FF00B050"/>
  </sheetPr>
  <dimension ref="B1:O20"/>
  <sheetViews>
    <sheetView workbookViewId="0">
      <selection activeCell="G16" sqref="G16"/>
    </sheetView>
  </sheetViews>
  <sheetFormatPr defaultRowHeight="15" x14ac:dyDescent="0.25"/>
  <cols>
    <col min="1" max="1" width="2" style="44" customWidth="1"/>
    <col min="2" max="2" width="12.85546875" style="44" customWidth="1"/>
    <col min="3" max="3" width="10.85546875" style="44" customWidth="1"/>
    <col min="4" max="4" width="13.5703125" style="44" customWidth="1"/>
    <col min="5" max="5" width="14.5703125" style="44" customWidth="1"/>
    <col min="6" max="7" width="9.140625" style="44"/>
    <col min="8" max="8" width="12.42578125" style="44" customWidth="1"/>
    <col min="9" max="9" width="11.7109375" style="44" customWidth="1"/>
    <col min="10" max="10" width="15.85546875" style="44" customWidth="1"/>
    <col min="11" max="11" width="14.85546875" style="44" customWidth="1"/>
    <col min="12" max="12" width="12.140625" style="44" customWidth="1"/>
    <col min="13" max="13" width="12" style="44" customWidth="1"/>
    <col min="14" max="14" width="15.42578125" style="44" customWidth="1"/>
    <col min="15" max="15" width="11.85546875" style="44" customWidth="1"/>
    <col min="16" max="16384" width="9.140625" style="44"/>
  </cols>
  <sheetData>
    <row r="1" spans="2:15" x14ac:dyDescent="0.25">
      <c r="C1" s="44" t="str">
        <f>""</f>
        <v/>
      </c>
    </row>
    <row r="2" spans="2:15" x14ac:dyDescent="0.25">
      <c r="B2" s="87" t="str">
        <f>'Data Sheet'!B1&amp;" - "&amp;'Data Sheet'!A17</f>
        <v>RELIANCE INDUSTRIES LTD - Sales</v>
      </c>
      <c r="C2" s="87"/>
      <c r="D2" s="87"/>
      <c r="E2" s="87"/>
      <c r="H2" s="62"/>
      <c r="I2" s="62"/>
      <c r="J2" s="62"/>
      <c r="K2" s="62"/>
      <c r="L2" s="87"/>
    </row>
    <row r="3" spans="2:15" x14ac:dyDescent="0.25">
      <c r="B3" s="45" t="s">
        <v>151</v>
      </c>
      <c r="C3" s="84" t="s">
        <v>81</v>
      </c>
      <c r="D3" s="84" t="s">
        <v>6</v>
      </c>
      <c r="E3" s="45" t="s">
        <v>152</v>
      </c>
      <c r="H3" s="62"/>
      <c r="I3" s="62"/>
      <c r="J3" s="62"/>
      <c r="K3" s="62"/>
      <c r="M3" s="44" t="str">
        <f>""</f>
        <v/>
      </c>
    </row>
    <row r="4" spans="2:15" x14ac:dyDescent="0.25">
      <c r="B4" s="46">
        <v>1</v>
      </c>
      <c r="C4" s="85">
        <v>2017</v>
      </c>
      <c r="D4" s="47" cm="1">
        <f t="array" ref="D4:D13">TRANSPOSE('Data Sheet'!B17:K17)</f>
        <v>303954</v>
      </c>
      <c r="H4" s="62"/>
      <c r="I4" s="62"/>
      <c r="J4" s="62"/>
      <c r="K4" s="62"/>
      <c r="L4" s="87"/>
      <c r="M4" s="87"/>
      <c r="N4" s="87"/>
      <c r="O4" s="87"/>
    </row>
    <row r="5" spans="2:15" x14ac:dyDescent="0.25">
      <c r="B5" s="46">
        <v>2</v>
      </c>
      <c r="C5" s="85">
        <v>2018</v>
      </c>
      <c r="D5" s="47">
        <v>390823</v>
      </c>
      <c r="E5" s="48">
        <f>D5/D4-1</f>
        <v>0.28579653500200686</v>
      </c>
      <c r="H5" s="62"/>
      <c r="I5" s="62"/>
      <c r="J5" s="62"/>
      <c r="K5" s="62"/>
      <c r="L5" s="88"/>
      <c r="M5" s="88"/>
      <c r="N5" s="88"/>
      <c r="O5" s="88"/>
    </row>
    <row r="6" spans="2:15" x14ac:dyDescent="0.25">
      <c r="B6" s="46">
        <v>3</v>
      </c>
      <c r="C6" s="85">
        <v>2019</v>
      </c>
      <c r="D6" s="47">
        <v>568337</v>
      </c>
      <c r="E6" s="48">
        <f t="shared" ref="E6:E18" si="0">D6/D5-1</f>
        <v>0.45420561225925793</v>
      </c>
      <c r="H6" s="87"/>
      <c r="I6" s="87"/>
      <c r="J6" s="87"/>
      <c r="K6" s="87"/>
      <c r="L6" s="46"/>
      <c r="M6" s="85"/>
      <c r="N6" s="47"/>
    </row>
    <row r="7" spans="2:15" x14ac:dyDescent="0.25">
      <c r="B7" s="46">
        <v>4</v>
      </c>
      <c r="C7" s="85">
        <v>2020</v>
      </c>
      <c r="D7" s="47">
        <v>596679</v>
      </c>
      <c r="E7" s="48">
        <f t="shared" si="0"/>
        <v>4.9868299969912266E-2</v>
      </c>
      <c r="H7" s="87"/>
      <c r="I7" s="87"/>
      <c r="J7" s="87"/>
      <c r="K7" s="87"/>
      <c r="L7" s="46"/>
      <c r="M7" s="85"/>
      <c r="N7" s="47"/>
      <c r="O7" s="48"/>
    </row>
    <row r="8" spans="2:15" x14ac:dyDescent="0.25">
      <c r="B8" s="46">
        <v>5</v>
      </c>
      <c r="C8" s="85">
        <v>2021</v>
      </c>
      <c r="D8" s="47">
        <v>466307</v>
      </c>
      <c r="E8" s="48">
        <f t="shared" si="0"/>
        <v>-0.21849604226057895</v>
      </c>
      <c r="H8" s="87"/>
      <c r="I8" s="87"/>
      <c r="J8" s="87"/>
      <c r="K8" s="87"/>
      <c r="L8" s="46"/>
      <c r="M8" s="85"/>
      <c r="N8" s="47"/>
      <c r="O8" s="48"/>
    </row>
    <row r="9" spans="2:15" x14ac:dyDescent="0.25">
      <c r="B9" s="46">
        <v>6</v>
      </c>
      <c r="C9" s="85">
        <v>2022</v>
      </c>
      <c r="D9" s="47">
        <v>694673</v>
      </c>
      <c r="E9" s="48">
        <f t="shared" si="0"/>
        <v>0.48973315862725619</v>
      </c>
      <c r="H9" s="87"/>
      <c r="I9" s="87"/>
      <c r="J9" s="62"/>
      <c r="K9" s="62"/>
      <c r="L9" s="46"/>
      <c r="M9" s="85"/>
      <c r="N9" s="47"/>
      <c r="O9" s="48"/>
    </row>
    <row r="10" spans="2:15" x14ac:dyDescent="0.25">
      <c r="B10" s="46">
        <v>7</v>
      </c>
      <c r="C10" s="85">
        <v>2023</v>
      </c>
      <c r="D10" s="47">
        <v>876396</v>
      </c>
      <c r="E10" s="48">
        <f t="shared" si="0"/>
        <v>0.26159502384575184</v>
      </c>
      <c r="H10" s="62"/>
      <c r="I10" s="62"/>
      <c r="J10" s="62"/>
      <c r="K10" s="62"/>
      <c r="L10" s="46"/>
      <c r="M10" s="85"/>
      <c r="N10" s="47"/>
      <c r="O10" s="48"/>
    </row>
    <row r="11" spans="2:15" x14ac:dyDescent="0.25">
      <c r="B11" s="46">
        <v>8</v>
      </c>
      <c r="C11" s="85">
        <v>2024</v>
      </c>
      <c r="D11" s="47">
        <v>899041</v>
      </c>
      <c r="E11" s="48">
        <f t="shared" si="0"/>
        <v>2.5838776078393799E-2</v>
      </c>
      <c r="H11" s="62"/>
      <c r="I11" s="62"/>
      <c r="J11" s="62"/>
      <c r="K11" s="62"/>
      <c r="L11" s="46"/>
      <c r="M11" s="85"/>
      <c r="N11" s="47"/>
      <c r="O11" s="48"/>
    </row>
    <row r="12" spans="2:15" x14ac:dyDescent="0.25">
      <c r="B12" s="46">
        <v>9</v>
      </c>
      <c r="C12" s="85">
        <v>2025</v>
      </c>
      <c r="D12" s="47">
        <v>962820</v>
      </c>
      <c r="E12" s="48">
        <f t="shared" si="0"/>
        <v>7.0941147289167006E-2</v>
      </c>
      <c r="H12" s="62"/>
      <c r="I12" s="62"/>
      <c r="J12" s="62"/>
      <c r="K12" s="62"/>
      <c r="L12" s="46"/>
      <c r="M12" s="85"/>
      <c r="N12" s="47"/>
      <c r="O12" s="48"/>
    </row>
    <row r="13" spans="2:15" x14ac:dyDescent="0.25">
      <c r="B13" s="46">
        <v>10</v>
      </c>
      <c r="C13" s="85">
        <v>2026</v>
      </c>
      <c r="D13" s="47">
        <v>1057219</v>
      </c>
      <c r="E13" s="48">
        <f t="shared" si="0"/>
        <v>9.8044286574852979E-2</v>
      </c>
      <c r="H13" s="62"/>
      <c r="I13" s="62"/>
      <c r="J13" s="62"/>
      <c r="K13" s="62"/>
      <c r="L13" s="46"/>
      <c r="M13" s="85"/>
      <c r="N13" s="47"/>
      <c r="O13" s="48"/>
    </row>
    <row r="14" spans="2:15" x14ac:dyDescent="0.25">
      <c r="B14" s="89">
        <v>11</v>
      </c>
      <c r="C14" s="90">
        <v>2027</v>
      </c>
      <c r="D14" s="91">
        <f>_xlfn.FORECAST.LINEAR(B14,_xlfn.ANCHORARRAY(D4),B4:B13)</f>
        <v>1131771.6000000001</v>
      </c>
      <c r="E14" s="92">
        <f t="shared" si="0"/>
        <v>7.0517650553007627E-2</v>
      </c>
      <c r="H14" s="62"/>
      <c r="I14" s="62"/>
      <c r="J14" s="62"/>
      <c r="K14" s="62"/>
      <c r="L14" s="46"/>
      <c r="M14" s="85"/>
      <c r="N14" s="47"/>
      <c r="O14" s="48"/>
    </row>
    <row r="15" spans="2:15" x14ac:dyDescent="0.25">
      <c r="B15" s="89">
        <v>12</v>
      </c>
      <c r="C15" s="90">
        <v>2028</v>
      </c>
      <c r="D15" s="91">
        <f>_xlfn.FORECAST.LINEAR(B15,D4:D14,B4:B14)</f>
        <v>1213616.4545454546</v>
      </c>
      <c r="E15" s="92">
        <f t="shared" si="0"/>
        <v>7.2315699161787039E-2</v>
      </c>
      <c r="H15" s="62"/>
      <c r="I15" s="62"/>
      <c r="J15" s="62"/>
      <c r="K15" s="62"/>
      <c r="L15" s="46"/>
      <c r="M15" s="85"/>
      <c r="N15" s="47"/>
      <c r="O15" s="48"/>
    </row>
    <row r="16" spans="2:15" x14ac:dyDescent="0.25">
      <c r="B16" s="89">
        <v>13</v>
      </c>
      <c r="C16" s="90">
        <v>2029</v>
      </c>
      <c r="D16" s="91">
        <f t="shared" ref="D16:D18" si="1">_xlfn.FORECAST.LINEAR(B16,D5:D15,B5:B15)</f>
        <v>1293246.8052892564</v>
      </c>
      <c r="E16" s="92">
        <f t="shared" si="0"/>
        <v>6.5614099450906238E-2</v>
      </c>
      <c r="H16" s="62"/>
      <c r="I16" s="62"/>
      <c r="J16" s="62"/>
      <c r="K16" s="62"/>
      <c r="L16" s="46"/>
      <c r="M16" s="86"/>
      <c r="N16" s="47"/>
      <c r="O16" s="48"/>
    </row>
    <row r="17" spans="2:15" x14ac:dyDescent="0.25">
      <c r="B17" s="89">
        <v>14</v>
      </c>
      <c r="C17" s="90">
        <v>2030</v>
      </c>
      <c r="D17" s="91">
        <f t="shared" si="1"/>
        <v>1372748.3678737793</v>
      </c>
      <c r="E17" s="92">
        <f t="shared" si="0"/>
        <v>6.1474393177983533E-2</v>
      </c>
      <c r="H17" s="62"/>
      <c r="I17" s="62"/>
      <c r="J17" s="62"/>
      <c r="K17" s="62"/>
      <c r="L17" s="46"/>
      <c r="M17" s="86"/>
      <c r="N17" s="47"/>
      <c r="O17" s="48"/>
    </row>
    <row r="18" spans="2:15" x14ac:dyDescent="0.25">
      <c r="B18" s="89">
        <v>15</v>
      </c>
      <c r="C18" s="90">
        <v>2031</v>
      </c>
      <c r="D18" s="91">
        <f t="shared" si="1"/>
        <v>1473894.3274732602</v>
      </c>
      <c r="E18" s="92">
        <f t="shared" si="0"/>
        <v>7.368135484010363E-2</v>
      </c>
      <c r="H18" s="62"/>
      <c r="I18" s="62"/>
      <c r="J18" s="62"/>
      <c r="K18" s="62"/>
      <c r="L18" s="46"/>
      <c r="M18" s="86"/>
      <c r="N18" s="47"/>
      <c r="O18" s="48"/>
    </row>
    <row r="19" spans="2:15" x14ac:dyDescent="0.25">
      <c r="L19" s="46"/>
      <c r="M19" s="86"/>
      <c r="N19" s="47"/>
      <c r="O19" s="48"/>
    </row>
    <row r="20" spans="2:15" x14ac:dyDescent="0.25">
      <c r="L20" s="46"/>
      <c r="M20" s="86"/>
      <c r="N20" s="47"/>
      <c r="O20" s="4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D091D-0C5E-4E15-AC05-D5727C5C680A}">
  <sheetPr>
    <tabColor rgb="FF00B050"/>
    <pageSetUpPr fitToPage="1"/>
  </sheetPr>
  <dimension ref="B2:P44"/>
  <sheetViews>
    <sheetView topLeftCell="A32" zoomScaleNormal="100" workbookViewId="0">
      <selection activeCell="N2" sqref="N2"/>
    </sheetView>
  </sheetViews>
  <sheetFormatPr defaultRowHeight="15" x14ac:dyDescent="0.25"/>
  <cols>
    <col min="1" max="1" width="2" style="44" customWidth="1"/>
    <col min="2" max="2" width="19.5703125" style="44" bestFit="1" customWidth="1"/>
    <col min="3" max="3" width="9.140625" style="44"/>
    <col min="4" max="4" width="10.140625" style="44" bestFit="1" customWidth="1"/>
    <col min="5" max="5" width="11.42578125" style="44" bestFit="1" customWidth="1"/>
    <col min="6" max="6" width="11" style="44" customWidth="1"/>
    <col min="7" max="7" width="9.7109375" style="44" customWidth="1"/>
    <col min="8" max="9" width="9.140625" style="44"/>
    <col min="10" max="10" width="11.28515625" style="44" customWidth="1"/>
    <col min="11" max="13" width="9.140625" style="44"/>
    <col min="14" max="14" width="21.5703125" style="44" bestFit="1" customWidth="1"/>
    <col min="15" max="16384" width="9.140625" style="44"/>
  </cols>
  <sheetData>
    <row r="2" spans="2:16" ht="18.75" x14ac:dyDescent="0.3">
      <c r="B2" s="93" t="s">
        <v>184</v>
      </c>
      <c r="C2" s="93"/>
      <c r="D2" s="93"/>
      <c r="E2" s="93"/>
      <c r="F2" s="93"/>
      <c r="G2" s="93"/>
      <c r="H2" s="93"/>
      <c r="I2" s="93"/>
      <c r="J2" s="93"/>
      <c r="K2" s="93"/>
    </row>
    <row r="4" spans="2:16" x14ac:dyDescent="0.25">
      <c r="B4" s="94" t="s">
        <v>183</v>
      </c>
      <c r="C4" s="94"/>
      <c r="D4" s="94"/>
      <c r="E4" s="94"/>
      <c r="F4" s="94"/>
    </row>
    <row r="6" spans="2:16" x14ac:dyDescent="0.25">
      <c r="B6" s="57" t="s">
        <v>185</v>
      </c>
      <c r="C6" s="57"/>
    </row>
    <row r="7" spans="2:16" x14ac:dyDescent="0.25">
      <c r="B7" s="59"/>
      <c r="C7" s="59"/>
      <c r="D7" s="59"/>
      <c r="E7" s="59"/>
      <c r="F7" s="59"/>
      <c r="G7" s="96" t="s">
        <v>188</v>
      </c>
      <c r="H7" s="96" t="s">
        <v>188</v>
      </c>
      <c r="I7" s="96" t="s">
        <v>191</v>
      </c>
      <c r="J7" s="96" t="s">
        <v>192</v>
      </c>
      <c r="K7" s="95"/>
    </row>
    <row r="8" spans="2:16" ht="15" customHeight="1" x14ac:dyDescent="0.25">
      <c r="B8" s="64" t="s">
        <v>201</v>
      </c>
      <c r="C8" s="64"/>
      <c r="D8" s="64" t="s">
        <v>186</v>
      </c>
      <c r="E8" s="64" t="s">
        <v>187</v>
      </c>
      <c r="F8" s="64" t="s">
        <v>193</v>
      </c>
      <c r="G8" s="97" t="s">
        <v>189</v>
      </c>
      <c r="H8" s="97" t="s">
        <v>190</v>
      </c>
      <c r="I8" s="64" t="s">
        <v>194</v>
      </c>
      <c r="J8" s="64" t="s">
        <v>195</v>
      </c>
    </row>
    <row r="10" spans="2:16" x14ac:dyDescent="0.25">
      <c r="B10" s="100" t="s">
        <v>196</v>
      </c>
      <c r="C10" s="100" t="s">
        <v>202</v>
      </c>
      <c r="D10" s="101">
        <v>1139</v>
      </c>
      <c r="E10" s="101">
        <v>611500</v>
      </c>
      <c r="F10" s="99">
        <v>30</v>
      </c>
      <c r="G10" s="48">
        <f>D10/E10</f>
        <v>1.8626328699918233E-3</v>
      </c>
      <c r="H10" s="48">
        <f>D10/SUM(D10,E10)</f>
        <v>1.859169918989813E-3</v>
      </c>
      <c r="I10" s="102">
        <v>1</v>
      </c>
      <c r="J10" s="99">
        <f>I10/1+(1-F10)*G10</f>
        <v>0.94598364677023716</v>
      </c>
    </row>
    <row r="11" spans="2:16" x14ac:dyDescent="0.25">
      <c r="B11" s="100" t="s">
        <v>197</v>
      </c>
      <c r="C11" s="100" t="s">
        <v>202</v>
      </c>
      <c r="D11" s="101">
        <v>279</v>
      </c>
      <c r="E11" s="101">
        <v>183975</v>
      </c>
      <c r="F11" s="99">
        <v>30</v>
      </c>
      <c r="G11" s="48">
        <f t="shared" ref="G11:G14" si="0">D11/E11</f>
        <v>1.5165103954341622E-3</v>
      </c>
      <c r="H11" s="48">
        <f t="shared" ref="H11:H14" si="1">D11/SUM(D11,E11)</f>
        <v>1.5142140740499529E-3</v>
      </c>
      <c r="I11" s="102">
        <v>1</v>
      </c>
      <c r="J11" s="99">
        <f t="shared" ref="J11:J14" si="2">I11/1+(1-F11)*G11</f>
        <v>0.9560211985324093</v>
      </c>
    </row>
    <row r="12" spans="2:16" x14ac:dyDescent="0.25">
      <c r="B12" s="100" t="s">
        <v>198</v>
      </c>
      <c r="C12" s="100" t="s">
        <v>202</v>
      </c>
      <c r="D12" s="101">
        <v>3017</v>
      </c>
      <c r="E12" s="101">
        <v>110000</v>
      </c>
      <c r="F12" s="99">
        <v>30</v>
      </c>
      <c r="G12" s="48">
        <f t="shared" si="0"/>
        <v>2.7427272727272727E-2</v>
      </c>
      <c r="H12" s="48">
        <f t="shared" si="1"/>
        <v>2.6695098967411981E-2</v>
      </c>
      <c r="I12" s="102">
        <v>1</v>
      </c>
      <c r="J12" s="99">
        <f t="shared" si="2"/>
        <v>0.20460909090909096</v>
      </c>
      <c r="N12" s="104"/>
    </row>
    <row r="13" spans="2:16" x14ac:dyDescent="0.25">
      <c r="B13" s="100" t="s">
        <v>199</v>
      </c>
      <c r="C13" s="100" t="s">
        <v>202</v>
      </c>
      <c r="D13" s="101">
        <v>1164</v>
      </c>
      <c r="E13" s="101">
        <v>93546</v>
      </c>
      <c r="F13" s="99">
        <v>30</v>
      </c>
      <c r="G13" s="48">
        <f t="shared" si="0"/>
        <v>1.244307613366686E-2</v>
      </c>
      <c r="H13" s="48">
        <f t="shared" si="1"/>
        <v>1.2290148875514729E-2</v>
      </c>
      <c r="I13" s="102">
        <v>1</v>
      </c>
      <c r="J13" s="99">
        <f t="shared" si="2"/>
        <v>0.63915079212366099</v>
      </c>
    </row>
    <row r="14" spans="2:16" x14ac:dyDescent="0.25">
      <c r="B14" s="100" t="s">
        <v>200</v>
      </c>
      <c r="C14" s="100" t="s">
        <v>202</v>
      </c>
      <c r="D14" s="101">
        <v>1064</v>
      </c>
      <c r="E14" s="101">
        <v>94805</v>
      </c>
      <c r="F14" s="99">
        <v>30</v>
      </c>
      <c r="G14" s="48">
        <f t="shared" si="0"/>
        <v>1.1223036759664575E-2</v>
      </c>
      <c r="H14" s="48">
        <f t="shared" si="1"/>
        <v>1.1098478131617103E-2</v>
      </c>
      <c r="I14" s="102">
        <v>1</v>
      </c>
      <c r="J14" s="99">
        <f t="shared" si="2"/>
        <v>0.67453193396972733</v>
      </c>
    </row>
    <row r="16" spans="2:16" x14ac:dyDescent="0.25">
      <c r="E16" s="59" t="s">
        <v>203</v>
      </c>
      <c r="F16" s="103">
        <f>AVERAGE(F10:F14)</f>
        <v>30</v>
      </c>
      <c r="G16" s="103">
        <f t="shared" ref="G16:J16" si="3">AVERAGE(G10:G14)</f>
        <v>1.0894505777206029E-2</v>
      </c>
      <c r="H16" s="103">
        <f t="shared" si="3"/>
        <v>1.0691421993516716E-2</v>
      </c>
      <c r="I16" s="103">
        <f t="shared" si="3"/>
        <v>1</v>
      </c>
      <c r="J16" s="103">
        <f t="shared" si="3"/>
        <v>0.68405933246102513</v>
      </c>
      <c r="K16" s="106"/>
      <c r="L16" s="106"/>
      <c r="M16" s="106"/>
      <c r="N16" s="106"/>
      <c r="O16" s="107"/>
      <c r="P16" s="107"/>
    </row>
    <row r="17" spans="2:16" x14ac:dyDescent="0.25">
      <c r="E17" s="64" t="s">
        <v>180</v>
      </c>
      <c r="F17" s="105">
        <f>MEDIAN(F10:F14)</f>
        <v>30</v>
      </c>
      <c r="G17" s="105">
        <f t="shared" ref="G17:J17" si="4">MEDIAN(G10:G14)</f>
        <v>1.1223036759664575E-2</v>
      </c>
      <c r="H17" s="105">
        <f t="shared" si="4"/>
        <v>1.1098478131617103E-2</v>
      </c>
      <c r="I17" s="105">
        <f t="shared" si="4"/>
        <v>1</v>
      </c>
      <c r="J17" s="105">
        <f t="shared" si="4"/>
        <v>0.67453193396972733</v>
      </c>
      <c r="K17" s="106"/>
      <c r="L17" s="106"/>
      <c r="M17" s="106"/>
      <c r="N17" s="106"/>
      <c r="O17" s="107"/>
      <c r="P17" s="107"/>
    </row>
    <row r="20" spans="2:16" x14ac:dyDescent="0.25">
      <c r="B20" s="64" t="s">
        <v>206</v>
      </c>
      <c r="C20" s="64"/>
      <c r="D20" s="65"/>
      <c r="I20" s="64" t="s">
        <v>208</v>
      </c>
      <c r="J20" s="64"/>
      <c r="K20" s="64"/>
      <c r="L20" s="64"/>
      <c r="M20" s="64"/>
      <c r="N20" s="64"/>
    </row>
    <row r="22" spans="2:16" x14ac:dyDescent="0.25">
      <c r="B22" s="44" t="s">
        <v>204</v>
      </c>
      <c r="D22" s="108">
        <v>8.4</v>
      </c>
      <c r="I22" s="44" t="s">
        <v>209</v>
      </c>
      <c r="N22" s="111">
        <v>6.5000000000000002E-2</v>
      </c>
    </row>
    <row r="23" spans="2:16" x14ac:dyDescent="0.25">
      <c r="B23" s="44" t="s">
        <v>205</v>
      </c>
      <c r="D23" s="109">
        <v>0.3</v>
      </c>
      <c r="I23" s="44" t="s">
        <v>210</v>
      </c>
      <c r="N23" s="111">
        <v>0.08</v>
      </c>
    </row>
    <row r="24" spans="2:16" ht="17.25" x14ac:dyDescent="0.25">
      <c r="B24" s="82" t="s">
        <v>207</v>
      </c>
      <c r="C24" s="82"/>
      <c r="D24" s="82">
        <f>D22*(1-D23)</f>
        <v>5.88</v>
      </c>
      <c r="I24" s="44" t="s">
        <v>211</v>
      </c>
      <c r="N24" s="99">
        <f>N35</f>
        <v>1.0235288911105862</v>
      </c>
    </row>
    <row r="25" spans="2:16" x14ac:dyDescent="0.25">
      <c r="I25" s="82" t="s">
        <v>212</v>
      </c>
      <c r="J25" s="82"/>
      <c r="K25" s="82"/>
      <c r="L25" s="82"/>
      <c r="M25" s="82"/>
      <c r="N25" s="114">
        <f>N22+N23*N24</f>
        <v>0.14688231128884691</v>
      </c>
    </row>
    <row r="30" spans="2:16" x14ac:dyDescent="0.25">
      <c r="B30" s="64" t="s">
        <v>213</v>
      </c>
      <c r="C30" s="64"/>
      <c r="D30" s="65"/>
      <c r="E30" s="65"/>
      <c r="F30" s="65"/>
      <c r="I30" s="64" t="s">
        <v>218</v>
      </c>
      <c r="J30" s="64"/>
      <c r="K30" s="65"/>
      <c r="L30" s="65"/>
      <c r="M30" s="65"/>
      <c r="N30" s="65"/>
    </row>
    <row r="32" spans="2:16" x14ac:dyDescent="0.25">
      <c r="I32" s="44" t="s">
        <v>219</v>
      </c>
      <c r="N32" s="115">
        <f>J17</f>
        <v>0.67453193396972733</v>
      </c>
    </row>
    <row r="33" spans="2:14" x14ac:dyDescent="0.25">
      <c r="E33" s="112" t="s">
        <v>214</v>
      </c>
      <c r="F33" s="112" t="s">
        <v>215</v>
      </c>
      <c r="I33" s="44" t="s">
        <v>220</v>
      </c>
      <c r="N33" s="111">
        <f>F38</f>
        <v>0.73913043478260876</v>
      </c>
    </row>
    <row r="34" spans="2:14" x14ac:dyDescent="0.25">
      <c r="B34" s="44" t="s">
        <v>186</v>
      </c>
      <c r="D34" s="100">
        <v>15000</v>
      </c>
      <c r="E34" s="48">
        <f>D34/D36</f>
        <v>0.33333333333333331</v>
      </c>
      <c r="F34" s="111">
        <v>0.42499999999999999</v>
      </c>
      <c r="I34" s="44" t="s">
        <v>221</v>
      </c>
      <c r="N34" s="104">
        <f>D23</f>
        <v>0.3</v>
      </c>
    </row>
    <row r="35" spans="2:14" x14ac:dyDescent="0.25">
      <c r="B35" s="44" t="s">
        <v>216</v>
      </c>
      <c r="D35" s="100">
        <v>30000</v>
      </c>
      <c r="E35" s="48">
        <f>D35/D36</f>
        <v>0.66666666666666663</v>
      </c>
      <c r="F35" s="98">
        <f>F36-F34</f>
        <v>0.57499999999999996</v>
      </c>
      <c r="I35" s="82" t="s">
        <v>218</v>
      </c>
      <c r="J35" s="82"/>
      <c r="K35" s="82"/>
      <c r="L35" s="82"/>
      <c r="M35" s="82"/>
      <c r="N35" s="103">
        <f>N32*(1+(1-N34)*N33)</f>
        <v>1.0235288911105862</v>
      </c>
    </row>
    <row r="36" spans="2:14" x14ac:dyDescent="0.25">
      <c r="B36" s="82" t="s">
        <v>217</v>
      </c>
      <c r="C36" s="82"/>
      <c r="D36" s="82">
        <f>D35+D34</f>
        <v>45000</v>
      </c>
      <c r="E36" s="60">
        <v>1</v>
      </c>
      <c r="F36" s="110">
        <v>1</v>
      </c>
    </row>
    <row r="38" spans="2:14" x14ac:dyDescent="0.25">
      <c r="B38" s="44" t="s">
        <v>222</v>
      </c>
      <c r="E38" s="113">
        <f>E34/E35</f>
        <v>0.5</v>
      </c>
      <c r="F38" s="92">
        <f>F34/F35</f>
        <v>0.73913043478260876</v>
      </c>
      <c r="I38" s="64" t="s">
        <v>223</v>
      </c>
      <c r="J38" s="64"/>
      <c r="K38" s="65"/>
      <c r="L38" s="65"/>
      <c r="M38" s="65"/>
      <c r="N38" s="65"/>
    </row>
    <row r="41" spans="2:14" x14ac:dyDescent="0.25">
      <c r="M41" s="44" t="s">
        <v>226</v>
      </c>
      <c r="N41" s="44" t="s">
        <v>225</v>
      </c>
    </row>
    <row r="42" spans="2:14" x14ac:dyDescent="0.25">
      <c r="I42" s="44" t="s">
        <v>224</v>
      </c>
      <c r="M42" s="98">
        <v>5.8799999999999998E-2</v>
      </c>
      <c r="N42" s="98">
        <f>F34</f>
        <v>0.42499999999999999</v>
      </c>
    </row>
    <row r="43" spans="2:14" x14ac:dyDescent="0.25">
      <c r="I43" s="44" t="s">
        <v>189</v>
      </c>
      <c r="M43" s="98">
        <f>N25</f>
        <v>0.14688231128884691</v>
      </c>
      <c r="N43" s="98">
        <f>F35</f>
        <v>0.57499999999999996</v>
      </c>
    </row>
    <row r="44" spans="2:14" x14ac:dyDescent="0.25">
      <c r="I44" s="82" t="s">
        <v>223</v>
      </c>
      <c r="J44" s="82"/>
      <c r="K44" s="82"/>
      <c r="L44" s="82"/>
      <c r="M44" s="82"/>
      <c r="N44" s="60">
        <f>SUMPRODUCT(M42:M43,N42:N43)</f>
        <v>0.10944732899108696</v>
      </c>
    </row>
  </sheetData>
  <pageMargins left="0.7" right="0.7" top="0.75" bottom="0.75" header="0.3" footer="0.3"/>
  <pageSetup paperSize="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Profit &amp; Loss</vt:lpstr>
      <vt:lpstr>Data Sheet</vt:lpstr>
      <vt:lpstr>Balance Sheet</vt:lpstr>
      <vt:lpstr>DATAs</vt:lpstr>
      <vt:lpstr>Sheet1</vt:lpstr>
      <vt:lpstr>RATIO ANANLYSIS</vt:lpstr>
      <vt:lpstr>FORCASTING</vt:lpstr>
      <vt:lpstr>WEIGHTAGE AVARAGE COST METHOD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Ganesh Jelda</cp:lastModifiedBy>
  <cp:lastPrinted>2026-05-12T04:15:21Z</cp:lastPrinted>
  <dcterms:created xsi:type="dcterms:W3CDTF">2012-08-17T09:55:37Z</dcterms:created>
  <dcterms:modified xsi:type="dcterms:W3CDTF">2026-05-15T15:01:24Z</dcterms:modified>
</cp:coreProperties>
</file>